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BP/richard4231.github.io/25-11-pdf-Analyzer/"/>
    </mc:Choice>
  </mc:AlternateContent>
  <xr:revisionPtr revIDLastSave="207" documentId="8_{BE8529B4-A718-E347-A274-C290A7E4C617}" xr6:coauthVersionLast="47" xr6:coauthVersionMax="47" xr10:uidLastSave="{44C3E54C-9E32-B048-9875-DAA7FDE445C5}"/>
  <bookViews>
    <workbookView xWindow="13500" yWindow="620" windowWidth="13540" windowHeight="15880" xr2:uid="{FE24CF1A-29D8-AD43-BDC9-42C6FD31B724}"/>
  </bookViews>
  <sheets>
    <sheet name="analyse_ergebnis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 a="1"/>
  <c r="Z3" i="1" s="1"/>
  <c r="Z4" i="1" a="1"/>
  <c r="Z4" i="1" s="1"/>
  <c r="Z5" i="1" a="1"/>
  <c r="Z5" i="1" s="1"/>
  <c r="Z6" i="1" a="1"/>
  <c r="Z6" i="1" s="1"/>
  <c r="Z7" i="1" a="1"/>
  <c r="Z7" i="1" s="1"/>
  <c r="Z8" i="1" a="1"/>
  <c r="Z8" i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2" i="1" a="1"/>
  <c r="Z2" i="1" s="1"/>
  <c r="W114" i="1"/>
  <c r="W115" i="1"/>
  <c r="W116" i="1"/>
  <c r="W29" i="1"/>
  <c r="W87" i="1"/>
  <c r="W15" i="1"/>
  <c r="W88" i="1"/>
  <c r="W108" i="1"/>
  <c r="W46" i="1"/>
  <c r="W78" i="1"/>
  <c r="W30" i="1"/>
  <c r="W4" i="1"/>
  <c r="W102" i="1"/>
  <c r="W110" i="1"/>
  <c r="W112" i="1"/>
  <c r="W47" i="1"/>
  <c r="W55" i="1"/>
  <c r="W12" i="1"/>
  <c r="W107" i="1"/>
  <c r="W97" i="1"/>
  <c r="W79" i="1"/>
  <c r="W81" i="1"/>
  <c r="W103" i="1"/>
  <c r="W58" i="1"/>
  <c r="W16" i="1"/>
  <c r="W111" i="1"/>
  <c r="W67" i="1"/>
  <c r="W82" i="1"/>
  <c r="W50" i="1"/>
  <c r="W43" i="1"/>
  <c r="W66" i="1"/>
  <c r="W93" i="1"/>
  <c r="W64" i="1"/>
  <c r="W8" i="1"/>
  <c r="W109" i="1"/>
  <c r="W14" i="1"/>
  <c r="W61" i="1"/>
  <c r="W106" i="1"/>
  <c r="W105" i="1"/>
  <c r="W89" i="1"/>
  <c r="W101" i="1"/>
  <c r="W9" i="1"/>
  <c r="W86" i="1"/>
  <c r="W54" i="1"/>
  <c r="W96" i="1"/>
  <c r="W7" i="1"/>
  <c r="W5" i="1"/>
  <c r="W65" i="1"/>
  <c r="W32" i="1"/>
  <c r="W22" i="1"/>
  <c r="W56" i="1"/>
  <c r="W99" i="1"/>
  <c r="W33" i="1"/>
  <c r="W95" i="1"/>
  <c r="W63" i="1"/>
  <c r="W21" i="1"/>
  <c r="W73" i="1"/>
  <c r="W104" i="1"/>
  <c r="W85" i="1"/>
  <c r="W18" i="1"/>
  <c r="W23" i="1"/>
  <c r="W48" i="1"/>
  <c r="W17" i="1"/>
  <c r="W35" i="1"/>
  <c r="W41" i="1"/>
  <c r="W90" i="1"/>
  <c r="W57" i="1"/>
  <c r="W94" i="1"/>
  <c r="W10" i="1"/>
  <c r="W37" i="1"/>
  <c r="W25" i="1"/>
  <c r="W59" i="1"/>
  <c r="W70" i="1"/>
  <c r="W51" i="1"/>
  <c r="W31" i="1"/>
  <c r="W19" i="1"/>
  <c r="W40" i="1"/>
  <c r="W100" i="1"/>
  <c r="W75" i="1"/>
  <c r="W74" i="1"/>
  <c r="W62" i="1"/>
  <c r="W13" i="1"/>
  <c r="W42" i="1"/>
  <c r="W53" i="1"/>
  <c r="W91" i="1"/>
  <c r="W26" i="1"/>
  <c r="W83" i="1"/>
  <c r="W71" i="1"/>
  <c r="W34" i="1"/>
  <c r="W72" i="1"/>
  <c r="W28" i="1"/>
  <c r="W113" i="1"/>
  <c r="W11" i="1"/>
  <c r="W69" i="1"/>
  <c r="W84" i="1"/>
  <c r="W80" i="1"/>
  <c r="W6" i="1"/>
  <c r="W76" i="1"/>
  <c r="W24" i="1"/>
  <c r="W39" i="1"/>
  <c r="W77" i="1"/>
  <c r="W60" i="1"/>
  <c r="W49" i="1"/>
  <c r="W27" i="1"/>
  <c r="W38" i="1"/>
  <c r="W45" i="1"/>
  <c r="W52" i="1"/>
  <c r="W36" i="1"/>
  <c r="W98" i="1"/>
  <c r="W68" i="1"/>
  <c r="W20" i="1"/>
  <c r="W92" i="1"/>
  <c r="W3" i="1"/>
  <c r="W44" i="1"/>
  <c r="R2" i="1" a="1"/>
  <c r="R2" i="1" s="1"/>
  <c r="S2" i="1" s="1"/>
  <c r="S71" i="1" l="1"/>
  <c r="S47" i="1"/>
  <c r="S23" i="1"/>
  <c r="S95" i="1"/>
  <c r="S113" i="1"/>
  <c r="S89" i="1"/>
  <c r="S65" i="1"/>
  <c r="S41" i="1"/>
  <c r="S17" i="1"/>
  <c r="S107" i="1"/>
  <c r="S83" i="1"/>
  <c r="S59" i="1"/>
  <c r="S35" i="1"/>
  <c r="S11" i="1"/>
  <c r="S106" i="1"/>
  <c r="S82" i="1"/>
  <c r="S58" i="1"/>
  <c r="S34" i="1"/>
  <c r="S10" i="1"/>
  <c r="S101" i="1"/>
  <c r="S77" i="1"/>
  <c r="S53" i="1"/>
  <c r="S29" i="1"/>
  <c r="S5" i="1"/>
  <c r="S98" i="1"/>
  <c r="S74" i="1"/>
  <c r="S50" i="1"/>
  <c r="S26" i="1"/>
  <c r="S97" i="1"/>
  <c r="S73" i="1"/>
  <c r="S49" i="1"/>
  <c r="S25" i="1"/>
  <c r="S96" i="1"/>
  <c r="S72" i="1"/>
  <c r="S48" i="1"/>
  <c r="S24" i="1"/>
  <c r="S108" i="1"/>
  <c r="S84" i="1"/>
  <c r="S60" i="1"/>
  <c r="S36" i="1"/>
  <c r="S12" i="1"/>
  <c r="S110" i="1"/>
  <c r="S86" i="1"/>
  <c r="S62" i="1"/>
  <c r="S38" i="1"/>
  <c r="S14" i="1"/>
  <c r="S85" i="1"/>
  <c r="S109" i="1"/>
  <c r="S61" i="1"/>
  <c r="S37" i="1"/>
  <c r="S13" i="1"/>
  <c r="S94" i="1"/>
  <c r="S70" i="1"/>
  <c r="S46" i="1"/>
  <c r="S22" i="1"/>
  <c r="S105" i="1"/>
  <c r="S93" i="1"/>
  <c r="S81" i="1"/>
  <c r="S69" i="1"/>
  <c r="S57" i="1"/>
  <c r="S45" i="1"/>
  <c r="S33" i="1"/>
  <c r="S21" i="1"/>
  <c r="S9" i="1"/>
  <c r="S116" i="1"/>
  <c r="S104" i="1"/>
  <c r="S92" i="1"/>
  <c r="S80" i="1"/>
  <c r="S68" i="1"/>
  <c r="S56" i="1"/>
  <c r="S44" i="1"/>
  <c r="S32" i="1"/>
  <c r="S20" i="1"/>
  <c r="S8" i="1"/>
  <c r="S115" i="1"/>
  <c r="S103" i="1"/>
  <c r="S91" i="1"/>
  <c r="S79" i="1"/>
  <c r="S67" i="1"/>
  <c r="S55" i="1"/>
  <c r="S43" i="1"/>
  <c r="S31" i="1"/>
  <c r="S19" i="1"/>
  <c r="S7" i="1"/>
  <c r="S114" i="1"/>
  <c r="S102" i="1"/>
  <c r="S90" i="1"/>
  <c r="S78" i="1"/>
  <c r="S66" i="1"/>
  <c r="S54" i="1"/>
  <c r="S42" i="1"/>
  <c r="S30" i="1"/>
  <c r="S18" i="1"/>
  <c r="S6" i="1"/>
  <c r="S112" i="1"/>
  <c r="S100" i="1"/>
  <c r="S88" i="1"/>
  <c r="S76" i="1"/>
  <c r="S64" i="1"/>
  <c r="S52" i="1"/>
  <c r="S40" i="1"/>
  <c r="S28" i="1"/>
  <c r="S16" i="1"/>
  <c r="S4" i="1"/>
  <c r="S111" i="1"/>
  <c r="S99" i="1"/>
  <c r="S87" i="1"/>
  <c r="S75" i="1"/>
  <c r="S63" i="1"/>
  <c r="S51" i="1"/>
  <c r="S39" i="1"/>
  <c r="S27" i="1"/>
  <c r="S15" i="1"/>
  <c r="S3" i="1"/>
  <c r="W2" i="1"/>
  <c r="T2" i="1" l="1"/>
  <c r="T3" i="1"/>
  <c r="T11" i="1"/>
  <c r="T42" i="1"/>
  <c r="T88" i="1"/>
  <c r="T99" i="1"/>
  <c r="T89" i="1"/>
  <c r="T12" i="1"/>
  <c r="T100" i="1"/>
  <c r="T33" i="1"/>
  <c r="T36" i="1"/>
  <c r="T8" i="1"/>
  <c r="T44" i="1"/>
  <c r="T35" i="1"/>
  <c r="T18" i="1"/>
  <c r="T26" i="1"/>
  <c r="T9" i="1"/>
  <c r="T25" i="1"/>
  <c r="T106" i="1"/>
  <c r="T61" i="1"/>
  <c r="T4" i="1"/>
  <c r="T105" i="1"/>
  <c r="T40" i="1"/>
  <c r="T50" i="1"/>
  <c r="T78" i="1"/>
  <c r="T92" i="1"/>
  <c r="T90" i="1"/>
  <c r="T39" i="1"/>
  <c r="T7" i="1"/>
  <c r="T54" i="1"/>
  <c r="T13" i="1"/>
  <c r="T20" i="1"/>
  <c r="T75" i="1"/>
  <c r="T85" i="1"/>
  <c r="T43" i="1"/>
  <c r="T30" i="1"/>
  <c r="T52" i="1"/>
  <c r="T38" i="1"/>
  <c r="T23" i="1"/>
  <c r="T47" i="1"/>
  <c r="T82" i="1"/>
  <c r="T41" i="1"/>
  <c r="T37" i="1"/>
  <c r="T74" i="1"/>
  <c r="T48" i="1"/>
  <c r="T45" i="1"/>
  <c r="T16" i="1"/>
  <c r="T113" i="1"/>
  <c r="T46" i="1"/>
  <c r="T73" i="1"/>
  <c r="T31" i="1"/>
  <c r="T49" i="1"/>
  <c r="T56" i="1"/>
  <c r="T96" i="1"/>
  <c r="T29" i="1"/>
  <c r="T57" i="1"/>
  <c r="T77" i="1"/>
  <c r="T28" i="1"/>
  <c r="T34" i="1"/>
  <c r="T94" i="1"/>
  <c r="T62" i="1"/>
  <c r="T111" i="1"/>
  <c r="T104" i="1"/>
  <c r="T59" i="1"/>
  <c r="T17" i="1"/>
  <c r="T58" i="1"/>
  <c r="T63" i="1"/>
  <c r="T103" i="1"/>
  <c r="T55" i="1"/>
  <c r="T24" i="1"/>
  <c r="T19" i="1"/>
  <c r="T84" i="1"/>
  <c r="T116" i="1"/>
  <c r="T69" i="1"/>
  <c r="T87" i="1"/>
  <c r="T67" i="1"/>
  <c r="T109" i="1"/>
  <c r="T97" i="1"/>
  <c r="T112" i="1"/>
  <c r="T10" i="1"/>
  <c r="T65" i="1"/>
  <c r="T70" i="1"/>
  <c r="T114" i="1"/>
  <c r="T27" i="1"/>
  <c r="T15" i="1"/>
  <c r="T80" i="1"/>
  <c r="T68" i="1"/>
  <c r="T53" i="1"/>
  <c r="T107" i="1"/>
  <c r="T79" i="1"/>
  <c r="T60" i="1"/>
  <c r="T102" i="1"/>
  <c r="T83" i="1"/>
  <c r="T110" i="1"/>
  <c r="T5" i="1"/>
  <c r="T72" i="1"/>
  <c r="T91" i="1"/>
  <c r="T66" i="1"/>
  <c r="T22" i="1"/>
  <c r="T6" i="1"/>
  <c r="T81" i="1"/>
  <c r="T71" i="1"/>
  <c r="T101" i="1"/>
  <c r="T14" i="1"/>
  <c r="T86" i="1"/>
  <c r="T51" i="1"/>
  <c r="T95" i="1"/>
  <c r="T76" i="1"/>
  <c r="T108" i="1"/>
  <c r="T21" i="1"/>
  <c r="T93" i="1"/>
  <c r="T98" i="1"/>
  <c r="T115" i="1"/>
  <c r="T64" i="1"/>
  <c r="T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<sst xmlns="http://schemas.openxmlformats.org/spreadsheetml/2006/main" count="5498" uniqueCount="162">
  <si>
    <t>PDF</t>
  </si>
  <si>
    <t>Seite</t>
  </si>
  <si>
    <t>Leitidee</t>
  </si>
  <si>
    <t>Stufe</t>
  </si>
  <si>
    <t>Begriff</t>
  </si>
  <si>
    <t>Exakt</t>
  </si>
  <si>
    <t>Flexion</t>
  </si>
  <si>
    <t>Kompositum</t>
  </si>
  <si>
    <t>Wortteil</t>
  </si>
  <si>
    <t>Anzahl_Gesamt</t>
  </si>
  <si>
    <t>Score_Gewichtet</t>
  </si>
  <si>
    <t>Zahlenbuch 6.pdf</t>
  </si>
  <si>
    <t>Gesundheit</t>
  </si>
  <si>
    <t>Stufe 1</t>
  </si>
  <si>
    <t>Alter</t>
  </si>
  <si>
    <t>Globale Entwicklung und Frieden</t>
  </si>
  <si>
    <t>Land</t>
  </si>
  <si>
    <t>Natürliche Umwelt und Ressourcen</t>
  </si>
  <si>
    <t>Stufe 2</t>
  </si>
  <si>
    <t>Landschaft</t>
  </si>
  <si>
    <t>Geschlechter und Gleichstellung</t>
  </si>
  <si>
    <t>Anteil</t>
  </si>
  <si>
    <t>Kulturelle Identitäten und interkulturelle Verständigung</t>
  </si>
  <si>
    <t>Sprache</t>
  </si>
  <si>
    <t>Leben</t>
  </si>
  <si>
    <t>Brauch</t>
  </si>
  <si>
    <t>Wald</t>
  </si>
  <si>
    <t>Arbeit</t>
  </si>
  <si>
    <t>Stufe 3</t>
  </si>
  <si>
    <t>Aufgaben</t>
  </si>
  <si>
    <t>Beruf</t>
  </si>
  <si>
    <t>Eltern</t>
  </si>
  <si>
    <t>Erwachsene</t>
  </si>
  <si>
    <t>Mann</t>
  </si>
  <si>
    <t>Mensch</t>
  </si>
  <si>
    <t>Recht</t>
  </si>
  <si>
    <t>Rolle</t>
  </si>
  <si>
    <t>gleich</t>
  </si>
  <si>
    <t>Gemeinschaft</t>
  </si>
  <si>
    <t>Hilfe</t>
  </si>
  <si>
    <t>Erde</t>
  </si>
  <si>
    <t>Tier</t>
  </si>
  <si>
    <t>Politik, Demokratie und Menschenrechte</t>
  </si>
  <si>
    <t>Gleichheit</t>
  </si>
  <si>
    <t>Rechte</t>
  </si>
  <si>
    <t>Wirtschaft und Konsum</t>
  </si>
  <si>
    <t>Leistung</t>
  </si>
  <si>
    <t>Produkt</t>
  </si>
  <si>
    <t>Produktion</t>
  </si>
  <si>
    <t>Unterstützung</t>
  </si>
  <si>
    <t>Freiheit</t>
  </si>
  <si>
    <t>Mehrheit</t>
  </si>
  <si>
    <t>Regeln</t>
  </si>
  <si>
    <t>Quote</t>
  </si>
  <si>
    <t>Art</t>
  </si>
  <si>
    <t>Fest</t>
  </si>
  <si>
    <t>Stimme</t>
  </si>
  <si>
    <t>Bildung</t>
  </si>
  <si>
    <t>Rein</t>
  </si>
  <si>
    <t>Berg</t>
  </si>
  <si>
    <t>Marke</t>
  </si>
  <si>
    <t>Unterschied</t>
  </si>
  <si>
    <t>Unterschiede</t>
  </si>
  <si>
    <t>Werte</t>
  </si>
  <si>
    <t>Wert</t>
  </si>
  <si>
    <t>Essen</t>
  </si>
  <si>
    <t>Luft</t>
  </si>
  <si>
    <t>Welt</t>
  </si>
  <si>
    <t>Wohnen</t>
  </si>
  <si>
    <t>Wasser</t>
  </si>
  <si>
    <t>Ordnung</t>
  </si>
  <si>
    <t>Entscheidung</t>
  </si>
  <si>
    <t>Frau</t>
  </si>
  <si>
    <t>Kind</t>
  </si>
  <si>
    <t>Körper</t>
  </si>
  <si>
    <t>Staat</t>
  </si>
  <si>
    <t>Sonne</t>
  </si>
  <si>
    <t>Ware</t>
  </si>
  <si>
    <t>Hersteller</t>
  </si>
  <si>
    <t>Tausch</t>
  </si>
  <si>
    <t>Bewegung</t>
  </si>
  <si>
    <t>Gruppe</t>
  </si>
  <si>
    <t>Arten</t>
  </si>
  <si>
    <t>Geld</t>
  </si>
  <si>
    <t>Kauf</t>
  </si>
  <si>
    <t>Preis</t>
  </si>
  <si>
    <t>Verkauf</t>
  </si>
  <si>
    <t>Natur</t>
  </si>
  <si>
    <t>Macht</t>
  </si>
  <si>
    <t>Person</t>
  </si>
  <si>
    <t>Bevölkerung</t>
  </si>
  <si>
    <t>Einkauf</t>
  </si>
  <si>
    <t>Geschäft</t>
  </si>
  <si>
    <t>Stein</t>
  </si>
  <si>
    <t>Austausch</t>
  </si>
  <si>
    <t>Partner</t>
  </si>
  <si>
    <t>Kunde</t>
  </si>
  <si>
    <t>Nation</t>
  </si>
  <si>
    <t>Nahrung</t>
  </si>
  <si>
    <t>Ruhe</t>
  </si>
  <si>
    <t>Klima</t>
  </si>
  <si>
    <t>Sport</t>
  </si>
  <si>
    <t>Familie</t>
  </si>
  <si>
    <t>Frieden</t>
  </si>
  <si>
    <t>Boden</t>
  </si>
  <si>
    <t>Kosten</t>
  </si>
  <si>
    <t>Lohn</t>
  </si>
  <si>
    <t>Verbrauch</t>
  </si>
  <si>
    <t>Gesetz</t>
  </si>
  <si>
    <t>Stoff</t>
  </si>
  <si>
    <t>Material</t>
  </si>
  <si>
    <t>Handel</t>
  </si>
  <si>
    <t>Wahl</t>
  </si>
  <si>
    <t>Verteilung</t>
  </si>
  <si>
    <t>Gemeinsamkeiten</t>
  </si>
  <si>
    <t>Schutz</t>
  </si>
  <si>
    <t>Verpackung</t>
  </si>
  <si>
    <t>Ernährung</t>
  </si>
  <si>
    <t>Krankheit</t>
  </si>
  <si>
    <t>Energie</t>
  </si>
  <si>
    <t>System</t>
  </si>
  <si>
    <t>Volk</t>
  </si>
  <si>
    <t>Kunst</t>
  </si>
  <si>
    <t>Pflanze</t>
  </si>
  <si>
    <t>Pflege</t>
  </si>
  <si>
    <t>Qualität</t>
  </si>
  <si>
    <t>Verwaltung</t>
  </si>
  <si>
    <t>Nachfrage</t>
  </si>
  <si>
    <t>Versorgung</t>
  </si>
  <si>
    <t>Transport</t>
  </si>
  <si>
    <t>Medizin</t>
  </si>
  <si>
    <t>Wiese</t>
  </si>
  <si>
    <t>Wetter</t>
  </si>
  <si>
    <t>Arzt</t>
  </si>
  <si>
    <t>Angebot</t>
  </si>
  <si>
    <t>International</t>
  </si>
  <si>
    <t>Zusammenarbeit</t>
  </si>
  <si>
    <t>Werbung</t>
  </si>
  <si>
    <t>Entwicklung</t>
  </si>
  <si>
    <t>Region</t>
  </si>
  <si>
    <t>Beteiligung</t>
  </si>
  <si>
    <t>Anzahl</t>
  </si>
  <si>
    <t>Rang</t>
  </si>
  <si>
    <t>Schulbuchseite</t>
  </si>
  <si>
    <t>Summe Score</t>
  </si>
  <si>
    <t>Thema</t>
  </si>
  <si>
    <t>implizit</t>
  </si>
  <si>
    <t>explizit</t>
  </si>
  <si>
    <t>ohne BNE-Bezug</t>
  </si>
  <si>
    <t>Reflexionstiefe</t>
  </si>
  <si>
    <t>x</t>
  </si>
  <si>
    <t>(x)</t>
  </si>
  <si>
    <t>Glossar</t>
  </si>
  <si>
    <t>Grössen</t>
  </si>
  <si>
    <t>Verkehrsstatistik</t>
  </si>
  <si>
    <t>Passt so Mathe</t>
  </si>
  <si>
    <t>Alltagsmath</t>
  </si>
  <si>
    <t>Zugvögel</t>
  </si>
  <si>
    <t>Zufall</t>
  </si>
  <si>
    <t>Prozentrechnung</t>
  </si>
  <si>
    <t>Blut</t>
  </si>
  <si>
    <t>Sporttag planen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</si>
</sst>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4">
    <dxf>
      <numFmt numFmtId="0" formatCode="General"/>
    </dxf>
    <dxf>
      <numFmt numFmtId="164" formatCode="0.0"/>
    </dxf>
    <dxf>
      <numFmt numFmtId="164" formatCode="0.0"/>
    </dxf>
    <dxf>
      <font>
        <b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9B5C7-4EC0-894B-BD88-AD6189C649F9}" name="Tabelle2" displayName="Tabelle2" ref="A1:K1338" totalsRowShown="0">
  <autoFilter ref="A1:K1338" xr:uid="{9719B5C7-4EC0-894B-BD88-AD6189C649F9}"/>
  <tableColumns count="11">
    <tableColumn id="1" xr3:uid="{27650D4F-BBC7-BB41-BA24-366BE8B06A6A}" name="PDF"/>
    <tableColumn id="2" xr3:uid="{251C79BB-234D-A94B-A778-18F11218019C}" name="Seite"/>
    <tableColumn id="3" xr3:uid="{95F660EE-9BF8-F442-B7C6-5743AFA77E4F}" name="Leitidee"/>
    <tableColumn id="4" xr3:uid="{06370700-D0D9-8F42-88C4-7C7C0D56C94B}" name="Stufe"/>
    <tableColumn id="5" xr3:uid="{51FF6414-4A3A-6340-8B1C-EF1131D472A1}" name="Begriff"/>
    <tableColumn id="6" xr3:uid="{DEE0FBFB-8054-044A-A9B1-A74F5B00D65B}" name="Exakt"/>
    <tableColumn id="7" xr3:uid="{BFF6B017-602D-CF4D-A52E-E25A06076DB5}" name="Flexion"/>
    <tableColumn id="8" xr3:uid="{12A517BF-4C12-6441-9D46-C1AC2CAE0371}" name="Kompositum"/>
    <tableColumn id="9" xr3:uid="{D4D65D93-E8A5-EF4A-8B25-56479F908FFE}" name="Wortteil"/>
    <tableColumn id="10" xr3:uid="{B04D82C0-6D60-7D45-86A3-6150D7DD90C3}" name="Anzahl_Gesamt"/>
    <tableColumn id="11" xr3:uid="{BA5B8444-086D-B143-9645-92CD4FFF8B31}" name="Score_Gewich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22D5D4-AE20-504F-BEA4-74148AE6A84B}" name="Tabelle3" displayName="Tabelle3" ref="V1:AE116" totalsRowShown="0">
  <autoFilter ref="V1:AE116" xr:uid="{F422D5D4-AE20-504F-BEA4-74148AE6A84B}"/>
  <sortState xmlns:xlrd2="http://schemas.microsoft.com/office/spreadsheetml/2017/richdata2" ref="V2:AE116">
    <sortCondition ref="W1:W116"/>
  </sortState>
  <tableColumns count="10">
    <tableColumn id="1" xr3:uid="{713F0655-C542-7A4F-9F65-43EA0B990620}" name="Seite"/>
    <tableColumn id="11" xr3:uid="{68591F43-D653-3B4D-AFCE-CDDBB8116C2F}" name="Schulbuchseite" dataDxfId="3">
      <calculatedColumnFormula>Tabelle3[[#This Row],[Seite]]-1</calculatedColumnFormula>
    </tableColumn>
    <tableColumn id="2" xr3:uid="{0C8943D0-BA34-9D4E-9C4B-65C67530137F}" name="Anzahl"/>
    <tableColumn id="3" xr3:uid="{365A1A6A-AA82-5A4C-8142-37D7D164D27D}" name="Rang"/>
    <tableColumn id="4" xr3:uid="{39E0955D-5CFF-8E41-8A78-6EEB19A95E4D}" name="Summe Score" dataDxfId="2">
      <calculatedColumnFormula array="1">SUMPRODUCT((Tabelle2[Seite]=V2)*Tabelle2[Score_Gewichtet])</calculatedColumnFormula>
    </tableColumn>
    <tableColumn id="9" xr3:uid="{BFFBE5A2-D90A-D745-93F7-B8C800E92A76}" name="Thema" dataDxfId="1"/>
    <tableColumn id="5" xr3:uid="{AED20AEE-4193-0942-948A-59629141D377}" name="implizit"/>
    <tableColumn id="6" xr3:uid="{75F540EC-744A-C54D-97C2-0BCFC1FFC926}" name="explizit"/>
    <tableColumn id="8" xr3:uid="{C58EF833-17CA-894A-9351-88284AD363A6}" name="ohne BNE-Bezug" dataDxfId="0">
      <calculatedColumnFormula>IF(Tabelle3[[#This Row],[Summe Score]]&lt;5,"x","")</calculatedColumnFormula>
    </tableColumn>
    <tableColumn id="7" xr3:uid="{4E2FBED5-25A2-2A4B-883F-8EAC087C589E}" name="Reflexionstief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5847-98E4-414C-9659-3E229512BC38}">
  <dimension ref="A1:AE1338"/>
  <sheetViews>
    <sheetView tabSelected="1" topLeftCell="B513" workbookViewId="0">
      <selection activeCell="B521" sqref="B521"/>
    </sheetView>
  </sheetViews>
  <sheetFormatPr baseColWidth="10" defaultRowHeight="16" x14ac:dyDescent="0.2"/>
  <cols>
    <col min="8" max="8" width="14.1640625" customWidth="1"/>
    <col min="10" max="10" width="16.5" customWidth="1"/>
    <col min="11" max="11" width="17.5" customWidth="1"/>
    <col min="29" max="29" width="4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R1" t="s">
        <v>1</v>
      </c>
      <c r="S1" t="s">
        <v>141</v>
      </c>
      <c r="T1" t="s">
        <v>142</v>
      </c>
      <c r="V1" t="s">
        <v>1</v>
      </c>
      <c r="W1" t="s">
        <v>143</v>
      </c>
      <c r="X1" t="s">
        <v>141</v>
      </c>
      <c r="Y1" t="s">
        <v>142</v>
      </c>
      <c r="Z1" t="s">
        <v>144</v>
      </c>
      <c r="AA1" t="s">
        <v>145</v>
      </c>
      <c r="AB1" t="s">
        <v>146</v>
      </c>
      <c r="AC1" t="s">
        <v>147</v>
      </c>
      <c r="AD1" t="s">
        <v>148</v>
      </c>
      <c r="AE1" t="s">
        <v>149</v>
      </c>
    </row>
    <row r="2" spans="1:31" x14ac:dyDescent="0.2">
      <c r="A2" t="s">
        <v>11</v>
      </c>
      <c r="B2">
        <v>2</v>
      </c>
      <c r="C2" t="s">
        <v>12</v>
      </c>
      <c r="D2" t="s">
        <v>13</v>
      </c>
      <c r="E2" t="s">
        <v>14</v>
      </c>
      <c r="F2">
        <v>0</v>
      </c>
      <c r="G2">
        <v>0</v>
      </c>
      <c r="H2">
        <v>1</v>
      </c>
      <c r="I2">
        <v>0</v>
      </c>
      <c r="J2">
        <v>1</v>
      </c>
      <c r="K2">
        <v>0.5</v>
      </c>
      <c r="R2" cm="1">
        <f t="array" ref="R2:R116">_xlfn.UNIQUE(B$2:B$1338)</f>
        <v>2</v>
      </c>
      <c r="S2">
        <f>COUNTIF(B$2:B$1338, R2)</f>
        <v>3</v>
      </c>
      <c r="T2">
        <f>RANK(S2, $S$2:$S$116)</f>
        <v>108</v>
      </c>
      <c r="V2">
        <v>2</v>
      </c>
      <c r="W2" s="1">
        <f>Tabelle3[[#This Row],[Seite]]-1</f>
        <v>1</v>
      </c>
      <c r="X2">
        <v>3</v>
      </c>
      <c r="Y2">
        <v>108</v>
      </c>
      <c r="Z2" s="2" cm="1">
        <f t="array" ref="Z2">SUMPRODUCT((Tabelle2[Seite]=V2)*Tabelle2[Score_Gewichtet])</f>
        <v>0.7</v>
      </c>
      <c r="AA2" s="2"/>
      <c r="AD2" t="s">
        <v>150</v>
      </c>
    </row>
    <row r="3" spans="1:31" x14ac:dyDescent="0.2">
      <c r="A3" t="s">
        <v>11</v>
      </c>
      <c r="B3">
        <v>2</v>
      </c>
      <c r="C3" t="s">
        <v>15</v>
      </c>
      <c r="D3" t="s">
        <v>13</v>
      </c>
      <c r="E3" t="s">
        <v>16</v>
      </c>
      <c r="F3">
        <v>0</v>
      </c>
      <c r="G3">
        <v>0</v>
      </c>
      <c r="H3">
        <v>0</v>
      </c>
      <c r="I3">
        <v>1</v>
      </c>
      <c r="J3">
        <v>1</v>
      </c>
      <c r="K3">
        <v>0.1</v>
      </c>
      <c r="R3">
        <v>3</v>
      </c>
      <c r="S3">
        <f t="shared" ref="S3:S66" si="0">COUNTIF(B$2:B$1338, R3)</f>
        <v>2</v>
      </c>
      <c r="T3">
        <f t="shared" ref="T3:T66" si="1">RANK(S3, $S$2:$S$116)</f>
        <v>112</v>
      </c>
      <c r="V3">
        <v>3</v>
      </c>
      <c r="W3" s="1">
        <f>Tabelle3[[#This Row],[Seite]]-1</f>
        <v>2</v>
      </c>
      <c r="X3">
        <v>2</v>
      </c>
      <c r="Y3">
        <v>112</v>
      </c>
      <c r="Z3" s="2" cm="1">
        <f t="array" ref="Z3">SUMPRODUCT((Tabelle2[Seite]=V3)*Tabelle2[Score_Gewichtet])</f>
        <v>1.35</v>
      </c>
      <c r="AA3" s="2"/>
      <c r="AD3" t="s">
        <v>150</v>
      </c>
    </row>
    <row r="4" spans="1:31" x14ac:dyDescent="0.2">
      <c r="A4" t="s">
        <v>11</v>
      </c>
      <c r="B4">
        <v>2</v>
      </c>
      <c r="C4" t="s">
        <v>17</v>
      </c>
      <c r="D4" t="s">
        <v>18</v>
      </c>
      <c r="E4" t="s">
        <v>19</v>
      </c>
      <c r="F4">
        <v>0</v>
      </c>
      <c r="G4">
        <v>0</v>
      </c>
      <c r="H4">
        <v>0</v>
      </c>
      <c r="I4">
        <v>1</v>
      </c>
      <c r="J4">
        <v>1</v>
      </c>
      <c r="K4">
        <v>0.1</v>
      </c>
      <c r="R4">
        <v>4</v>
      </c>
      <c r="S4">
        <f t="shared" si="0"/>
        <v>5</v>
      </c>
      <c r="T4">
        <f t="shared" si="1"/>
        <v>100</v>
      </c>
      <c r="V4">
        <v>4</v>
      </c>
      <c r="W4" s="1">
        <f>Tabelle3[[#This Row],[Seite]]-1</f>
        <v>3</v>
      </c>
      <c r="X4">
        <v>5</v>
      </c>
      <c r="Y4">
        <v>100</v>
      </c>
      <c r="Z4" s="2" cm="1">
        <f t="array" ref="Z4">SUMPRODUCT((Tabelle2[Seite]=V4)*Tabelle2[Score_Gewichtet])</f>
        <v>2.75</v>
      </c>
      <c r="AA4" s="2"/>
      <c r="AD4" t="s">
        <v>150</v>
      </c>
    </row>
    <row r="5" spans="1:31" x14ac:dyDescent="0.2">
      <c r="A5" t="s">
        <v>11</v>
      </c>
      <c r="B5">
        <v>3</v>
      </c>
      <c r="C5" t="s">
        <v>20</v>
      </c>
      <c r="D5" t="s">
        <v>18</v>
      </c>
      <c r="E5" t="s">
        <v>21</v>
      </c>
      <c r="F5">
        <v>0</v>
      </c>
      <c r="G5">
        <v>1</v>
      </c>
      <c r="H5">
        <v>0</v>
      </c>
      <c r="I5">
        <v>0</v>
      </c>
      <c r="J5">
        <v>1</v>
      </c>
      <c r="K5">
        <v>0.75</v>
      </c>
      <c r="R5">
        <v>5</v>
      </c>
      <c r="S5">
        <f t="shared" si="0"/>
        <v>26</v>
      </c>
      <c r="T5">
        <f t="shared" si="1"/>
        <v>5</v>
      </c>
      <c r="V5">
        <v>5</v>
      </c>
      <c r="W5" s="1">
        <f>Tabelle3[[#This Row],[Seite]]-1</f>
        <v>4</v>
      </c>
      <c r="X5">
        <v>26</v>
      </c>
      <c r="Y5">
        <v>5</v>
      </c>
      <c r="Z5" s="2" cm="1">
        <f t="array" ref="Z5">SUMPRODUCT((Tabelle2[Seite]=V5)*Tabelle2[Score_Gewichtet])</f>
        <v>32.000000000000007</v>
      </c>
      <c r="AA5" s="2"/>
      <c r="AD5" t="s">
        <v>150</v>
      </c>
    </row>
    <row r="6" spans="1:31" x14ac:dyDescent="0.2">
      <c r="A6" t="s">
        <v>11</v>
      </c>
      <c r="B6">
        <v>3</v>
      </c>
      <c r="C6" t="s">
        <v>22</v>
      </c>
      <c r="D6" t="s">
        <v>13</v>
      </c>
      <c r="E6" t="s">
        <v>23</v>
      </c>
      <c r="F6">
        <v>0</v>
      </c>
      <c r="G6">
        <v>0</v>
      </c>
      <c r="H6">
        <v>1</v>
      </c>
      <c r="I6">
        <v>0</v>
      </c>
      <c r="J6">
        <v>1</v>
      </c>
      <c r="K6">
        <v>0.6</v>
      </c>
      <c r="R6">
        <v>6</v>
      </c>
      <c r="S6">
        <f t="shared" si="0"/>
        <v>9</v>
      </c>
      <c r="T6">
        <f t="shared" si="1"/>
        <v>61</v>
      </c>
      <c r="V6">
        <v>6</v>
      </c>
      <c r="W6" s="1">
        <f>Tabelle3[[#This Row],[Seite]]-1</f>
        <v>5</v>
      </c>
      <c r="X6">
        <v>9</v>
      </c>
      <c r="Y6">
        <v>61</v>
      </c>
      <c r="Z6" s="2" cm="1">
        <f t="array" ref="Z6">SUMPRODUCT((Tabelle2[Seite]=V6)*Tabelle2[Score_Gewichtet])</f>
        <v>10.6</v>
      </c>
      <c r="AA6" s="2"/>
      <c r="AD6" t="s">
        <v>150</v>
      </c>
    </row>
    <row r="7" spans="1:31" x14ac:dyDescent="0.2">
      <c r="A7" t="s">
        <v>11</v>
      </c>
      <c r="B7">
        <v>4</v>
      </c>
      <c r="C7" t="s">
        <v>12</v>
      </c>
      <c r="D7" t="s">
        <v>13</v>
      </c>
      <c r="E7" t="s">
        <v>24</v>
      </c>
      <c r="F7">
        <v>0</v>
      </c>
      <c r="G7">
        <v>0</v>
      </c>
      <c r="H7">
        <v>1</v>
      </c>
      <c r="I7">
        <v>0</v>
      </c>
      <c r="J7">
        <v>1</v>
      </c>
      <c r="K7">
        <v>0.5</v>
      </c>
      <c r="R7">
        <v>7</v>
      </c>
      <c r="S7">
        <f t="shared" si="0"/>
        <v>10</v>
      </c>
      <c r="T7">
        <f t="shared" si="1"/>
        <v>55</v>
      </c>
      <c r="V7">
        <v>7</v>
      </c>
      <c r="W7" s="1">
        <f>Tabelle3[[#This Row],[Seite]]-1</f>
        <v>6</v>
      </c>
      <c r="X7">
        <v>10</v>
      </c>
      <c r="Y7">
        <v>55</v>
      </c>
      <c r="Z7" s="2" cm="1">
        <f t="array" ref="Z7">SUMPRODUCT((Tabelle2[Seite]=V7)*Tabelle2[Score_Gewichtet])</f>
        <v>34.299999999999997</v>
      </c>
      <c r="AA7" s="2"/>
      <c r="AD7" t="s">
        <v>150</v>
      </c>
    </row>
    <row r="8" spans="1:31" x14ac:dyDescent="0.2">
      <c r="A8" t="s">
        <v>11</v>
      </c>
      <c r="B8">
        <v>4</v>
      </c>
      <c r="C8" t="s">
        <v>22</v>
      </c>
      <c r="D8" t="s">
        <v>13</v>
      </c>
      <c r="E8" t="s">
        <v>25</v>
      </c>
      <c r="F8">
        <v>0</v>
      </c>
      <c r="G8">
        <v>1</v>
      </c>
      <c r="H8">
        <v>0</v>
      </c>
      <c r="I8">
        <v>0</v>
      </c>
      <c r="J8">
        <v>1</v>
      </c>
      <c r="K8">
        <v>0.75</v>
      </c>
      <c r="R8">
        <v>8</v>
      </c>
      <c r="S8">
        <f t="shared" si="0"/>
        <v>9</v>
      </c>
      <c r="T8">
        <f t="shared" si="1"/>
        <v>61</v>
      </c>
      <c r="V8">
        <v>8</v>
      </c>
      <c r="W8" s="1">
        <f>Tabelle3[[#This Row],[Seite]]-1</f>
        <v>7</v>
      </c>
      <c r="X8">
        <v>9</v>
      </c>
      <c r="Y8">
        <v>61</v>
      </c>
      <c r="Z8" s="2" cm="1">
        <f t="array" ref="Z8">SUMPRODUCT((Tabelle2[Seite]=V8)*Tabelle2[Score_Gewichtet])</f>
        <v>8.5500000000000007</v>
      </c>
      <c r="AA8" s="2"/>
      <c r="AD8" t="s">
        <v>150</v>
      </c>
    </row>
    <row r="9" spans="1:31" x14ac:dyDescent="0.2">
      <c r="A9" t="s">
        <v>11</v>
      </c>
      <c r="B9">
        <v>4</v>
      </c>
      <c r="C9" t="s">
        <v>17</v>
      </c>
      <c r="D9" t="s">
        <v>13</v>
      </c>
      <c r="E9" t="s">
        <v>24</v>
      </c>
      <c r="F9">
        <v>0</v>
      </c>
      <c r="G9">
        <v>0</v>
      </c>
      <c r="H9">
        <v>1</v>
      </c>
      <c r="I9">
        <v>0</v>
      </c>
      <c r="J9">
        <v>1</v>
      </c>
      <c r="K9">
        <v>0.5</v>
      </c>
      <c r="R9">
        <v>9</v>
      </c>
      <c r="S9">
        <f t="shared" si="0"/>
        <v>8</v>
      </c>
      <c r="T9">
        <f t="shared" si="1"/>
        <v>75</v>
      </c>
      <c r="V9">
        <v>9</v>
      </c>
      <c r="W9" s="1">
        <f>Tabelle3[[#This Row],[Seite]]-1</f>
        <v>8</v>
      </c>
      <c r="X9">
        <v>8</v>
      </c>
      <c r="Y9">
        <v>75</v>
      </c>
      <c r="Z9" s="2" cm="1">
        <f t="array" ref="Z9">SUMPRODUCT((Tabelle2[Seite]=V9)*Tabelle2[Score_Gewichtet])</f>
        <v>7.9</v>
      </c>
      <c r="AA9" s="2"/>
      <c r="AD9" t="s">
        <v>150</v>
      </c>
    </row>
    <row r="10" spans="1:31" x14ac:dyDescent="0.2">
      <c r="A10" t="s">
        <v>11</v>
      </c>
      <c r="B10">
        <v>4</v>
      </c>
      <c r="C10" t="s">
        <v>17</v>
      </c>
      <c r="D10" t="s">
        <v>13</v>
      </c>
      <c r="E10" t="s">
        <v>26</v>
      </c>
      <c r="F10">
        <v>0</v>
      </c>
      <c r="G10">
        <v>0</v>
      </c>
      <c r="H10">
        <v>1</v>
      </c>
      <c r="I10">
        <v>0</v>
      </c>
      <c r="J10">
        <v>1</v>
      </c>
      <c r="K10">
        <v>0.5</v>
      </c>
      <c r="R10">
        <v>10</v>
      </c>
      <c r="S10">
        <f t="shared" si="0"/>
        <v>13</v>
      </c>
      <c r="T10">
        <f t="shared" si="1"/>
        <v>34</v>
      </c>
      <c r="V10">
        <v>10</v>
      </c>
      <c r="W10" s="1">
        <f>Tabelle3[[#This Row],[Seite]]-1</f>
        <v>9</v>
      </c>
      <c r="X10">
        <v>13</v>
      </c>
      <c r="Y10">
        <v>34</v>
      </c>
      <c r="Z10" s="2" cm="1">
        <f t="array" ref="Z10">SUMPRODUCT((Tabelle2[Seite]=V10)*Tabelle2[Score_Gewichtet])</f>
        <v>10.5</v>
      </c>
      <c r="AA10" s="2"/>
      <c r="AD10" t="s">
        <v>150</v>
      </c>
    </row>
    <row r="11" spans="1:31" x14ac:dyDescent="0.2">
      <c r="A11" t="s">
        <v>11</v>
      </c>
      <c r="B11">
        <v>4</v>
      </c>
      <c r="C11" t="s">
        <v>17</v>
      </c>
      <c r="D11" t="s">
        <v>18</v>
      </c>
      <c r="E11" t="s">
        <v>26</v>
      </c>
      <c r="F11">
        <v>0</v>
      </c>
      <c r="G11">
        <v>0</v>
      </c>
      <c r="H11">
        <v>1</v>
      </c>
      <c r="I11">
        <v>0</v>
      </c>
      <c r="J11">
        <v>1</v>
      </c>
      <c r="K11">
        <v>0.5</v>
      </c>
      <c r="R11">
        <v>11</v>
      </c>
      <c r="S11">
        <f t="shared" si="0"/>
        <v>15</v>
      </c>
      <c r="T11">
        <f t="shared" si="1"/>
        <v>26</v>
      </c>
      <c r="V11">
        <v>11</v>
      </c>
      <c r="W11" s="1">
        <f>Tabelle3[[#This Row],[Seite]]-1</f>
        <v>10</v>
      </c>
      <c r="X11">
        <v>15</v>
      </c>
      <c r="Y11">
        <v>26</v>
      </c>
      <c r="Z11" s="2" cm="1">
        <f t="array" ref="Z11">SUMPRODUCT((Tabelle2[Seite]=V11)*Tabelle2[Score_Gewichtet])</f>
        <v>11.1</v>
      </c>
      <c r="AA11" s="2" t="s">
        <v>155</v>
      </c>
      <c r="AB11" t="s">
        <v>151</v>
      </c>
      <c r="AE11">
        <v>2</v>
      </c>
    </row>
    <row r="12" spans="1:31" x14ac:dyDescent="0.2">
      <c r="A12" t="s">
        <v>11</v>
      </c>
      <c r="B12">
        <v>5</v>
      </c>
      <c r="C12" t="s">
        <v>20</v>
      </c>
      <c r="D12" t="s">
        <v>13</v>
      </c>
      <c r="E12" t="s">
        <v>27</v>
      </c>
      <c r="F12">
        <v>2</v>
      </c>
      <c r="G12">
        <v>0</v>
      </c>
      <c r="H12">
        <v>3</v>
      </c>
      <c r="I12">
        <v>0</v>
      </c>
      <c r="J12">
        <v>5</v>
      </c>
      <c r="K12">
        <v>3.5</v>
      </c>
      <c r="R12">
        <v>12</v>
      </c>
      <c r="S12">
        <f t="shared" si="0"/>
        <v>19</v>
      </c>
      <c r="T12">
        <f t="shared" si="1"/>
        <v>17</v>
      </c>
      <c r="V12">
        <v>12</v>
      </c>
      <c r="W12" s="1">
        <f>Tabelle3[[#This Row],[Seite]]-1</f>
        <v>11</v>
      </c>
      <c r="X12">
        <v>19</v>
      </c>
      <c r="Y12">
        <v>17</v>
      </c>
      <c r="Z12" s="2" cm="1">
        <f t="array" ref="Z12">SUMPRODUCT((Tabelle2[Seite]=V12)*Tabelle2[Score_Gewichtet])</f>
        <v>10.049999999999997</v>
      </c>
      <c r="AA12" s="2" t="s">
        <v>155</v>
      </c>
      <c r="AB12" t="s">
        <v>151</v>
      </c>
      <c r="AE12">
        <v>2</v>
      </c>
    </row>
    <row r="13" spans="1:31" x14ac:dyDescent="0.2">
      <c r="A13" t="s">
        <v>11</v>
      </c>
      <c r="B13">
        <v>5</v>
      </c>
      <c r="C13" t="s">
        <v>20</v>
      </c>
      <c r="D13" t="s">
        <v>18</v>
      </c>
      <c r="E13" t="s">
        <v>27</v>
      </c>
      <c r="F13">
        <v>2</v>
      </c>
      <c r="G13">
        <v>0</v>
      </c>
      <c r="H13">
        <v>3</v>
      </c>
      <c r="I13">
        <v>0</v>
      </c>
      <c r="J13">
        <v>5</v>
      </c>
      <c r="K13">
        <v>3.5</v>
      </c>
      <c r="R13">
        <v>13</v>
      </c>
      <c r="S13">
        <f t="shared" si="0"/>
        <v>12</v>
      </c>
      <c r="T13">
        <f t="shared" si="1"/>
        <v>39</v>
      </c>
      <c r="V13">
        <v>13</v>
      </c>
      <c r="W13" s="1">
        <f>Tabelle3[[#This Row],[Seite]]-1</f>
        <v>12</v>
      </c>
      <c r="X13">
        <v>12</v>
      </c>
      <c r="Y13">
        <v>39</v>
      </c>
      <c r="Z13" s="2" cm="1">
        <f t="array" ref="Z13">SUMPRODUCT((Tabelle2[Seite]=V13)*Tabelle2[Score_Gewichtet])</f>
        <v>13.799999999999999</v>
      </c>
      <c r="AA13" s="2"/>
      <c r="AD13" t="s">
        <v>150</v>
      </c>
    </row>
    <row r="14" spans="1:31" x14ac:dyDescent="0.2">
      <c r="A14" t="s">
        <v>11</v>
      </c>
      <c r="B14">
        <v>5</v>
      </c>
      <c r="C14" t="s">
        <v>20</v>
      </c>
      <c r="D14" t="s">
        <v>28</v>
      </c>
      <c r="E14" t="s">
        <v>29</v>
      </c>
      <c r="F14">
        <v>5</v>
      </c>
      <c r="G14">
        <v>0</v>
      </c>
      <c r="H14">
        <v>1</v>
      </c>
      <c r="I14">
        <v>0</v>
      </c>
      <c r="J14">
        <v>6</v>
      </c>
      <c r="K14">
        <v>5.5</v>
      </c>
      <c r="R14">
        <v>14</v>
      </c>
      <c r="S14">
        <f t="shared" si="0"/>
        <v>9</v>
      </c>
      <c r="T14">
        <f t="shared" si="1"/>
        <v>61</v>
      </c>
      <c r="V14">
        <v>14</v>
      </c>
      <c r="W14" s="1">
        <f>Tabelle3[[#This Row],[Seite]]-1</f>
        <v>13</v>
      </c>
      <c r="X14">
        <v>9</v>
      </c>
      <c r="Y14">
        <v>61</v>
      </c>
      <c r="Z14" s="2" cm="1">
        <f t="array" ref="Z14">SUMPRODUCT((Tabelle2[Seite]=V14)*Tabelle2[Score_Gewichtet])</f>
        <v>7.7999999999999989</v>
      </c>
      <c r="AA14" s="2"/>
      <c r="AD14" t="s">
        <v>150</v>
      </c>
    </row>
    <row r="15" spans="1:31" x14ac:dyDescent="0.2">
      <c r="A15" t="s">
        <v>11</v>
      </c>
      <c r="B15">
        <v>5</v>
      </c>
      <c r="C15" t="s">
        <v>20</v>
      </c>
      <c r="D15" t="s">
        <v>18</v>
      </c>
      <c r="E15" t="s">
        <v>30</v>
      </c>
      <c r="F15">
        <v>0</v>
      </c>
      <c r="G15">
        <v>0</v>
      </c>
      <c r="H15">
        <v>1</v>
      </c>
      <c r="I15">
        <v>0</v>
      </c>
      <c r="J15">
        <v>1</v>
      </c>
      <c r="K15">
        <v>0.5</v>
      </c>
      <c r="R15">
        <v>15</v>
      </c>
      <c r="S15">
        <f t="shared" si="0"/>
        <v>8</v>
      </c>
      <c r="T15">
        <f t="shared" si="1"/>
        <v>75</v>
      </c>
      <c r="V15">
        <v>15</v>
      </c>
      <c r="W15" s="1">
        <f>Tabelle3[[#This Row],[Seite]]-1</f>
        <v>14</v>
      </c>
      <c r="X15">
        <v>8</v>
      </c>
      <c r="Y15">
        <v>75</v>
      </c>
      <c r="Z15" s="2" cm="1">
        <f t="array" ref="Z15">SUMPRODUCT((Tabelle2[Seite]=V15)*Tabelle2[Score_Gewichtet])</f>
        <v>3.6500000000000004</v>
      </c>
      <c r="AA15" s="2"/>
      <c r="AD15" t="s">
        <v>150</v>
      </c>
    </row>
    <row r="16" spans="1:31" x14ac:dyDescent="0.2">
      <c r="A16" t="s">
        <v>11</v>
      </c>
      <c r="B16">
        <v>5</v>
      </c>
      <c r="C16" t="s">
        <v>20</v>
      </c>
      <c r="D16" t="s">
        <v>13</v>
      </c>
      <c r="E16" t="s">
        <v>31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R16">
        <v>16</v>
      </c>
      <c r="S16">
        <f t="shared" si="0"/>
        <v>11</v>
      </c>
      <c r="T16">
        <f t="shared" si="1"/>
        <v>47</v>
      </c>
      <c r="V16">
        <v>16</v>
      </c>
      <c r="W16" s="1">
        <f>Tabelle3[[#This Row],[Seite]]-1</f>
        <v>15</v>
      </c>
      <c r="X16">
        <v>11</v>
      </c>
      <c r="Y16">
        <v>47</v>
      </c>
      <c r="Z16" s="2" cm="1">
        <f t="array" ref="Z16">SUMPRODUCT((Tabelle2[Seite]=V16)*Tabelle2[Score_Gewichtet])</f>
        <v>7.4999999999999991</v>
      </c>
      <c r="AA16" s="2"/>
      <c r="AD16" t="s">
        <v>150</v>
      </c>
    </row>
    <row r="17" spans="1:31" x14ac:dyDescent="0.2">
      <c r="A17" t="s">
        <v>11</v>
      </c>
      <c r="B17">
        <v>5</v>
      </c>
      <c r="C17" t="s">
        <v>20</v>
      </c>
      <c r="D17" t="s">
        <v>13</v>
      </c>
      <c r="E17" t="s">
        <v>32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R17">
        <v>17</v>
      </c>
      <c r="S17">
        <f t="shared" si="0"/>
        <v>9</v>
      </c>
      <c r="T17">
        <f t="shared" si="1"/>
        <v>61</v>
      </c>
      <c r="V17">
        <v>17</v>
      </c>
      <c r="W17" s="1">
        <f>Tabelle3[[#This Row],[Seite]]-1</f>
        <v>16</v>
      </c>
      <c r="X17">
        <v>9</v>
      </c>
      <c r="Y17">
        <v>61</v>
      </c>
      <c r="Z17" s="2" cm="1">
        <f t="array" ref="Z17">SUMPRODUCT((Tabelle2[Seite]=V17)*Tabelle2[Score_Gewichtet])</f>
        <v>8.1999999999999993</v>
      </c>
      <c r="AA17" s="2" t="s">
        <v>153</v>
      </c>
      <c r="AB17" t="s">
        <v>151</v>
      </c>
      <c r="AE17">
        <v>1</v>
      </c>
    </row>
    <row r="18" spans="1:31" x14ac:dyDescent="0.2">
      <c r="A18" t="s">
        <v>11</v>
      </c>
      <c r="B18">
        <v>5</v>
      </c>
      <c r="C18" t="s">
        <v>20</v>
      </c>
      <c r="D18" t="s">
        <v>13</v>
      </c>
      <c r="E18" t="s">
        <v>33</v>
      </c>
      <c r="F18">
        <v>0</v>
      </c>
      <c r="G18">
        <v>1</v>
      </c>
      <c r="H18">
        <v>0</v>
      </c>
      <c r="I18">
        <v>0</v>
      </c>
      <c r="J18">
        <v>1</v>
      </c>
      <c r="K18">
        <v>0.75</v>
      </c>
      <c r="R18">
        <v>18</v>
      </c>
      <c r="S18">
        <f t="shared" si="0"/>
        <v>3</v>
      </c>
      <c r="T18">
        <f t="shared" si="1"/>
        <v>108</v>
      </c>
      <c r="V18">
        <v>18</v>
      </c>
      <c r="W18" s="1">
        <f>Tabelle3[[#This Row],[Seite]]-1</f>
        <v>17</v>
      </c>
      <c r="X18">
        <v>3</v>
      </c>
      <c r="Y18">
        <v>108</v>
      </c>
      <c r="Z18" s="2" cm="1">
        <f t="array" ref="Z18">SUMPRODUCT((Tabelle2[Seite]=V18)*Tabelle2[Score_Gewichtet])</f>
        <v>1.45</v>
      </c>
      <c r="AA18" s="2" t="s">
        <v>153</v>
      </c>
      <c r="AB18" t="s">
        <v>151</v>
      </c>
      <c r="AE18">
        <v>1</v>
      </c>
    </row>
    <row r="19" spans="1:31" x14ac:dyDescent="0.2">
      <c r="A19" t="s">
        <v>11</v>
      </c>
      <c r="B19">
        <v>5</v>
      </c>
      <c r="C19" t="s">
        <v>20</v>
      </c>
      <c r="D19" t="s">
        <v>13</v>
      </c>
      <c r="E19" t="s">
        <v>34</v>
      </c>
      <c r="F19">
        <v>0</v>
      </c>
      <c r="G19">
        <v>1</v>
      </c>
      <c r="H19">
        <v>0</v>
      </c>
      <c r="I19">
        <v>0</v>
      </c>
      <c r="J19">
        <v>1</v>
      </c>
      <c r="K19">
        <v>0.75</v>
      </c>
      <c r="R19">
        <v>19</v>
      </c>
      <c r="S19">
        <f t="shared" si="0"/>
        <v>10</v>
      </c>
      <c r="T19">
        <f t="shared" si="1"/>
        <v>55</v>
      </c>
      <c r="V19">
        <v>19</v>
      </c>
      <c r="W19" s="1">
        <f>Tabelle3[[#This Row],[Seite]]-1</f>
        <v>18</v>
      </c>
      <c r="X19">
        <v>10</v>
      </c>
      <c r="Y19">
        <v>55</v>
      </c>
      <c r="Z19" s="2" cm="1">
        <f t="array" ref="Z19">SUMPRODUCT((Tabelle2[Seite]=V19)*Tabelle2[Score_Gewichtet])</f>
        <v>11.850000000000001</v>
      </c>
      <c r="AA19" s="2" t="s">
        <v>156</v>
      </c>
      <c r="AB19" t="s">
        <v>151</v>
      </c>
      <c r="AE19">
        <v>1</v>
      </c>
    </row>
    <row r="20" spans="1:31" x14ac:dyDescent="0.2">
      <c r="A20" t="s">
        <v>11</v>
      </c>
      <c r="B20">
        <v>5</v>
      </c>
      <c r="C20" t="s">
        <v>20</v>
      </c>
      <c r="D20" t="s">
        <v>18</v>
      </c>
      <c r="E20" t="s">
        <v>35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R20">
        <v>20</v>
      </c>
      <c r="S20">
        <f t="shared" si="0"/>
        <v>18</v>
      </c>
      <c r="T20">
        <f t="shared" si="1"/>
        <v>18</v>
      </c>
      <c r="V20">
        <v>20</v>
      </c>
      <c r="W20" s="1">
        <f>Tabelle3[[#This Row],[Seite]]-1</f>
        <v>19</v>
      </c>
      <c r="X20">
        <v>18</v>
      </c>
      <c r="Y20">
        <v>18</v>
      </c>
      <c r="Z20" s="2" cm="1">
        <f t="array" ref="Z20">SUMPRODUCT((Tabelle2[Seite]=V20)*Tabelle2[Score_Gewichtet])</f>
        <v>18.100000000000001</v>
      </c>
      <c r="AA20" s="2" t="s">
        <v>156</v>
      </c>
      <c r="AB20" t="s">
        <v>151</v>
      </c>
      <c r="AE20">
        <v>1</v>
      </c>
    </row>
    <row r="21" spans="1:31" x14ac:dyDescent="0.2">
      <c r="A21" t="s">
        <v>11</v>
      </c>
      <c r="B21">
        <v>5</v>
      </c>
      <c r="C21" t="s">
        <v>20</v>
      </c>
      <c r="D21" t="s">
        <v>13</v>
      </c>
      <c r="E21" t="s">
        <v>36</v>
      </c>
      <c r="F21">
        <v>0</v>
      </c>
      <c r="G21">
        <v>0</v>
      </c>
      <c r="H21">
        <v>1</v>
      </c>
      <c r="I21">
        <v>1</v>
      </c>
      <c r="J21">
        <v>2</v>
      </c>
      <c r="K21">
        <v>0.6</v>
      </c>
      <c r="R21">
        <v>21</v>
      </c>
      <c r="S21">
        <f t="shared" si="0"/>
        <v>26</v>
      </c>
      <c r="T21">
        <f t="shared" si="1"/>
        <v>5</v>
      </c>
      <c r="V21">
        <v>21</v>
      </c>
      <c r="W21" s="1">
        <f>Tabelle3[[#This Row],[Seite]]-1</f>
        <v>20</v>
      </c>
      <c r="X21">
        <v>26</v>
      </c>
      <c r="Y21">
        <v>5</v>
      </c>
      <c r="Z21" s="2" cm="1">
        <f t="array" ref="Z21">SUMPRODUCT((Tabelle2[Seite]=V21)*Tabelle2[Score_Gewichtet])</f>
        <v>23.45</v>
      </c>
      <c r="AA21" s="2" t="s">
        <v>154</v>
      </c>
      <c r="AB21" t="s">
        <v>150</v>
      </c>
      <c r="AE21">
        <v>1</v>
      </c>
    </row>
    <row r="22" spans="1:31" x14ac:dyDescent="0.2">
      <c r="A22" t="s">
        <v>11</v>
      </c>
      <c r="B22">
        <v>5</v>
      </c>
      <c r="C22" t="s">
        <v>20</v>
      </c>
      <c r="D22" t="s">
        <v>13</v>
      </c>
      <c r="E22" t="s">
        <v>37</v>
      </c>
      <c r="F22">
        <v>0</v>
      </c>
      <c r="G22">
        <v>1</v>
      </c>
      <c r="H22">
        <v>0</v>
      </c>
      <c r="I22">
        <v>0</v>
      </c>
      <c r="J22">
        <v>1</v>
      </c>
      <c r="K22">
        <v>0.75</v>
      </c>
      <c r="R22">
        <v>22</v>
      </c>
      <c r="S22">
        <f t="shared" si="0"/>
        <v>10</v>
      </c>
      <c r="T22">
        <f t="shared" si="1"/>
        <v>55</v>
      </c>
      <c r="V22">
        <v>22</v>
      </c>
      <c r="W22" s="1">
        <f>Tabelle3[[#This Row],[Seite]]-1</f>
        <v>21</v>
      </c>
      <c r="X22">
        <v>10</v>
      </c>
      <c r="Y22">
        <v>55</v>
      </c>
      <c r="Z22" s="2" cm="1">
        <f t="array" ref="Z22">SUMPRODUCT((Tabelle2[Seite]=V22)*Tabelle2[Score_Gewichtet])</f>
        <v>4.9000000000000004</v>
      </c>
      <c r="AA22" s="2" t="s">
        <v>154</v>
      </c>
      <c r="AB22" t="s">
        <v>150</v>
      </c>
      <c r="AE22">
        <v>2</v>
      </c>
    </row>
    <row r="23" spans="1:31" x14ac:dyDescent="0.2">
      <c r="A23" t="s">
        <v>11</v>
      </c>
      <c r="B23">
        <v>5</v>
      </c>
      <c r="C23" t="s">
        <v>12</v>
      </c>
      <c r="D23" t="s">
        <v>13</v>
      </c>
      <c r="E23" t="s">
        <v>24</v>
      </c>
      <c r="F23">
        <v>2</v>
      </c>
      <c r="G23">
        <v>0</v>
      </c>
      <c r="H23">
        <v>0</v>
      </c>
      <c r="I23">
        <v>0</v>
      </c>
      <c r="J23">
        <v>2</v>
      </c>
      <c r="K23">
        <v>2</v>
      </c>
      <c r="R23">
        <v>23</v>
      </c>
      <c r="S23">
        <f t="shared" si="0"/>
        <v>6</v>
      </c>
      <c r="T23">
        <f t="shared" si="1"/>
        <v>95</v>
      </c>
      <c r="V23">
        <v>23</v>
      </c>
      <c r="W23" s="1">
        <f>Tabelle3[[#This Row],[Seite]]-1</f>
        <v>22</v>
      </c>
      <c r="X23">
        <v>6</v>
      </c>
      <c r="Y23">
        <v>95</v>
      </c>
      <c r="Z23" s="2" cm="1">
        <f t="array" ref="Z23">SUMPRODUCT((Tabelle2[Seite]=V23)*Tabelle2[Score_Gewichtet])</f>
        <v>2.0500000000000003</v>
      </c>
      <c r="AA23" s="2"/>
      <c r="AD23" t="s">
        <v>150</v>
      </c>
    </row>
    <row r="24" spans="1:31" x14ac:dyDescent="0.2">
      <c r="A24" t="s">
        <v>11</v>
      </c>
      <c r="B24">
        <v>5</v>
      </c>
      <c r="C24" t="s">
        <v>15</v>
      </c>
      <c r="D24" t="s">
        <v>13</v>
      </c>
      <c r="E24" t="s">
        <v>38</v>
      </c>
      <c r="F24">
        <v>0</v>
      </c>
      <c r="G24">
        <v>0</v>
      </c>
      <c r="H24">
        <v>1</v>
      </c>
      <c r="I24">
        <v>0</v>
      </c>
      <c r="J24">
        <v>1</v>
      </c>
      <c r="K24">
        <v>0.5</v>
      </c>
      <c r="R24">
        <v>24</v>
      </c>
      <c r="S24">
        <f t="shared" si="0"/>
        <v>16</v>
      </c>
      <c r="T24">
        <f t="shared" si="1"/>
        <v>21</v>
      </c>
      <c r="V24">
        <v>24</v>
      </c>
      <c r="W24" s="1">
        <f>Tabelle3[[#This Row],[Seite]]-1</f>
        <v>23</v>
      </c>
      <c r="X24">
        <v>16</v>
      </c>
      <c r="Y24">
        <v>21</v>
      </c>
      <c r="Z24" s="2" cm="1">
        <f t="array" ref="Z24">SUMPRODUCT((Tabelle2[Seite]=V24)*Tabelle2[Score_Gewichtet])</f>
        <v>14.75</v>
      </c>
      <c r="AA24" s="2"/>
      <c r="AD24" t="s">
        <v>150</v>
      </c>
    </row>
    <row r="25" spans="1:31" x14ac:dyDescent="0.2">
      <c r="A25" t="s">
        <v>11</v>
      </c>
      <c r="B25">
        <v>5</v>
      </c>
      <c r="C25" t="s">
        <v>15</v>
      </c>
      <c r="D25" t="s">
        <v>13</v>
      </c>
      <c r="E25" t="s">
        <v>39</v>
      </c>
      <c r="F25">
        <v>0</v>
      </c>
      <c r="G25">
        <v>0</v>
      </c>
      <c r="H25">
        <v>0</v>
      </c>
      <c r="I25">
        <v>1</v>
      </c>
      <c r="J25">
        <v>1</v>
      </c>
      <c r="K25">
        <v>0.1</v>
      </c>
      <c r="R25">
        <v>25</v>
      </c>
      <c r="S25">
        <f t="shared" si="0"/>
        <v>12</v>
      </c>
      <c r="T25">
        <f t="shared" si="1"/>
        <v>39</v>
      </c>
      <c r="V25">
        <v>25</v>
      </c>
      <c r="W25" s="1">
        <f>Tabelle3[[#This Row],[Seite]]-1</f>
        <v>24</v>
      </c>
      <c r="X25">
        <v>12</v>
      </c>
      <c r="Y25">
        <v>39</v>
      </c>
      <c r="Z25" s="2" cm="1">
        <f t="array" ref="Z25">SUMPRODUCT((Tabelle2[Seite]=V25)*Tabelle2[Score_Gewichtet])</f>
        <v>16.95</v>
      </c>
      <c r="AA25" s="2"/>
      <c r="AD25" t="s">
        <v>150</v>
      </c>
    </row>
    <row r="26" spans="1:31" x14ac:dyDescent="0.2">
      <c r="A26" t="s">
        <v>11</v>
      </c>
      <c r="B26">
        <v>5</v>
      </c>
      <c r="C26" t="s">
        <v>22</v>
      </c>
      <c r="D26" t="s">
        <v>18</v>
      </c>
      <c r="E26" t="s">
        <v>38</v>
      </c>
      <c r="F26">
        <v>0</v>
      </c>
      <c r="G26">
        <v>0</v>
      </c>
      <c r="H26">
        <v>1</v>
      </c>
      <c r="I26">
        <v>0</v>
      </c>
      <c r="J26">
        <v>1</v>
      </c>
      <c r="K26">
        <v>0.5</v>
      </c>
      <c r="R26">
        <v>26</v>
      </c>
      <c r="S26">
        <f t="shared" si="0"/>
        <v>9</v>
      </c>
      <c r="T26">
        <f t="shared" si="1"/>
        <v>61</v>
      </c>
      <c r="V26">
        <v>26</v>
      </c>
      <c r="W26" s="1">
        <f>Tabelle3[[#This Row],[Seite]]-1</f>
        <v>25</v>
      </c>
      <c r="X26">
        <v>9</v>
      </c>
      <c r="Y26">
        <v>61</v>
      </c>
      <c r="Z26" s="2" cm="1">
        <f t="array" ref="Z26">SUMPRODUCT((Tabelle2[Seite]=V26)*Tabelle2[Score_Gewichtet])</f>
        <v>10.399999999999999</v>
      </c>
      <c r="AA26" s="2"/>
      <c r="AD26" t="s">
        <v>150</v>
      </c>
    </row>
    <row r="27" spans="1:31" x14ac:dyDescent="0.2">
      <c r="A27" t="s">
        <v>11</v>
      </c>
      <c r="B27">
        <v>5</v>
      </c>
      <c r="C27" t="s">
        <v>17</v>
      </c>
      <c r="D27" t="s">
        <v>13</v>
      </c>
      <c r="E27" t="s">
        <v>40</v>
      </c>
      <c r="F27">
        <v>0</v>
      </c>
      <c r="G27">
        <v>0</v>
      </c>
      <c r="H27">
        <v>0</v>
      </c>
      <c r="I27">
        <v>1</v>
      </c>
      <c r="J27">
        <v>1</v>
      </c>
      <c r="K27">
        <v>0.1</v>
      </c>
      <c r="R27">
        <v>27</v>
      </c>
      <c r="S27">
        <f t="shared" si="0"/>
        <v>9</v>
      </c>
      <c r="T27">
        <f t="shared" si="1"/>
        <v>61</v>
      </c>
      <c r="V27">
        <v>27</v>
      </c>
      <c r="W27" s="1">
        <f>Tabelle3[[#This Row],[Seite]]-1</f>
        <v>26</v>
      </c>
      <c r="X27">
        <v>9</v>
      </c>
      <c r="Y27">
        <v>61</v>
      </c>
      <c r="Z27" s="2" cm="1">
        <f t="array" ref="Z27">SUMPRODUCT((Tabelle2[Seite]=V27)*Tabelle2[Score_Gewichtet])</f>
        <v>5.0000000000000009</v>
      </c>
      <c r="AA27" s="2"/>
      <c r="AD27" t="s">
        <v>150</v>
      </c>
    </row>
    <row r="28" spans="1:31" x14ac:dyDescent="0.2">
      <c r="A28" t="s">
        <v>11</v>
      </c>
      <c r="B28">
        <v>5</v>
      </c>
      <c r="C28" t="s">
        <v>17</v>
      </c>
      <c r="D28" t="s">
        <v>13</v>
      </c>
      <c r="E28" t="s">
        <v>24</v>
      </c>
      <c r="F28">
        <v>2</v>
      </c>
      <c r="G28">
        <v>0</v>
      </c>
      <c r="H28">
        <v>0</v>
      </c>
      <c r="I28">
        <v>0</v>
      </c>
      <c r="J28">
        <v>2</v>
      </c>
      <c r="K28">
        <v>2</v>
      </c>
      <c r="R28">
        <v>28</v>
      </c>
      <c r="S28">
        <f t="shared" si="0"/>
        <v>7</v>
      </c>
      <c r="T28">
        <f t="shared" si="1"/>
        <v>87</v>
      </c>
      <c r="V28">
        <v>28</v>
      </c>
      <c r="W28" s="1">
        <f>Tabelle3[[#This Row],[Seite]]-1</f>
        <v>27</v>
      </c>
      <c r="X28">
        <v>7</v>
      </c>
      <c r="Y28">
        <v>87</v>
      </c>
      <c r="Z28" s="2" cm="1">
        <f t="array" ref="Z28">SUMPRODUCT((Tabelle2[Seite]=V28)*Tabelle2[Score_Gewichtet])</f>
        <v>6.55</v>
      </c>
      <c r="AA28" s="2"/>
      <c r="AD28" t="s">
        <v>150</v>
      </c>
    </row>
    <row r="29" spans="1:31" x14ac:dyDescent="0.2">
      <c r="A29" t="s">
        <v>11</v>
      </c>
      <c r="B29">
        <v>5</v>
      </c>
      <c r="C29" t="s">
        <v>17</v>
      </c>
      <c r="D29" t="s">
        <v>13</v>
      </c>
      <c r="E29" t="s">
        <v>41</v>
      </c>
      <c r="F29">
        <v>0</v>
      </c>
      <c r="G29">
        <v>0</v>
      </c>
      <c r="H29">
        <v>0</v>
      </c>
      <c r="I29">
        <v>1</v>
      </c>
      <c r="J29">
        <v>1</v>
      </c>
      <c r="K29">
        <v>0.1</v>
      </c>
      <c r="R29">
        <v>29</v>
      </c>
      <c r="S29">
        <f t="shared" si="0"/>
        <v>12</v>
      </c>
      <c r="T29">
        <f t="shared" si="1"/>
        <v>39</v>
      </c>
      <c r="V29">
        <v>29</v>
      </c>
      <c r="W29" s="1">
        <f>Tabelle3[[#This Row],[Seite]]-1</f>
        <v>28</v>
      </c>
      <c r="X29">
        <v>12</v>
      </c>
      <c r="Y29">
        <v>39</v>
      </c>
      <c r="Z29" s="2" cm="1">
        <f t="array" ref="Z29">SUMPRODUCT((Tabelle2[Seite]=V29)*Tabelle2[Score_Gewichtet])</f>
        <v>19.399999999999999</v>
      </c>
      <c r="AA29" s="2"/>
      <c r="AD29" t="s">
        <v>150</v>
      </c>
    </row>
    <row r="30" spans="1:31" x14ac:dyDescent="0.2">
      <c r="A30" t="s">
        <v>11</v>
      </c>
      <c r="B30">
        <v>5</v>
      </c>
      <c r="C30" t="s">
        <v>42</v>
      </c>
      <c r="D30" t="s">
        <v>28</v>
      </c>
      <c r="E30" t="s">
        <v>43</v>
      </c>
      <c r="F30">
        <v>0</v>
      </c>
      <c r="G30">
        <v>1</v>
      </c>
      <c r="H30">
        <v>0</v>
      </c>
      <c r="I30">
        <v>0</v>
      </c>
      <c r="J30">
        <v>1</v>
      </c>
      <c r="K30">
        <v>0.75</v>
      </c>
      <c r="R30">
        <v>30</v>
      </c>
      <c r="S30">
        <f t="shared" si="0"/>
        <v>9</v>
      </c>
      <c r="T30">
        <f t="shared" si="1"/>
        <v>61</v>
      </c>
      <c r="V30">
        <v>30</v>
      </c>
      <c r="W30" s="1">
        <f>Tabelle3[[#This Row],[Seite]]-1</f>
        <v>29</v>
      </c>
      <c r="X30">
        <v>9</v>
      </c>
      <c r="Y30">
        <v>61</v>
      </c>
      <c r="Z30" s="2" cm="1">
        <f t="array" ref="Z30">SUMPRODUCT((Tabelle2[Seite]=V30)*Tabelle2[Score_Gewichtet])</f>
        <v>4.0500000000000007</v>
      </c>
      <c r="AA30" s="2"/>
      <c r="AD30" t="s">
        <v>150</v>
      </c>
    </row>
    <row r="31" spans="1:31" x14ac:dyDescent="0.2">
      <c r="A31" t="s">
        <v>11</v>
      </c>
      <c r="B31">
        <v>5</v>
      </c>
      <c r="C31" t="s">
        <v>42</v>
      </c>
      <c r="D31" t="s">
        <v>13</v>
      </c>
      <c r="E31" t="s">
        <v>35</v>
      </c>
      <c r="F31">
        <v>1</v>
      </c>
      <c r="G31">
        <v>0</v>
      </c>
      <c r="H31">
        <v>0</v>
      </c>
      <c r="I31">
        <v>0</v>
      </c>
      <c r="J31">
        <v>1</v>
      </c>
      <c r="K31">
        <v>1</v>
      </c>
      <c r="R31">
        <v>31</v>
      </c>
      <c r="S31">
        <f t="shared" si="0"/>
        <v>12</v>
      </c>
      <c r="T31">
        <f t="shared" si="1"/>
        <v>39</v>
      </c>
      <c r="V31">
        <v>31</v>
      </c>
      <c r="W31" s="1">
        <f>Tabelle3[[#This Row],[Seite]]-1</f>
        <v>30</v>
      </c>
      <c r="X31">
        <v>12</v>
      </c>
      <c r="Y31">
        <v>39</v>
      </c>
      <c r="Z31" s="2" cm="1">
        <f t="array" ref="Z31">SUMPRODUCT((Tabelle2[Seite]=V31)*Tabelle2[Score_Gewichtet])</f>
        <v>9.8000000000000007</v>
      </c>
      <c r="AA31" s="2" t="s">
        <v>157</v>
      </c>
      <c r="AB31" t="s">
        <v>151</v>
      </c>
      <c r="AE31">
        <v>1</v>
      </c>
    </row>
    <row r="32" spans="1:31" x14ac:dyDescent="0.2">
      <c r="A32" t="s">
        <v>11</v>
      </c>
      <c r="B32">
        <v>5</v>
      </c>
      <c r="C32" t="s">
        <v>42</v>
      </c>
      <c r="D32" t="s">
        <v>18</v>
      </c>
      <c r="E32" t="s">
        <v>44</v>
      </c>
      <c r="F32">
        <v>0</v>
      </c>
      <c r="G32">
        <v>1</v>
      </c>
      <c r="H32">
        <v>0</v>
      </c>
      <c r="I32">
        <v>0</v>
      </c>
      <c r="J32">
        <v>1</v>
      </c>
      <c r="K32">
        <v>0.75</v>
      </c>
      <c r="R32">
        <v>32</v>
      </c>
      <c r="S32">
        <f t="shared" si="0"/>
        <v>11</v>
      </c>
      <c r="T32">
        <f t="shared" si="1"/>
        <v>47</v>
      </c>
      <c r="V32">
        <v>32</v>
      </c>
      <c r="W32" s="1">
        <f>Tabelle3[[#This Row],[Seite]]-1</f>
        <v>31</v>
      </c>
      <c r="X32">
        <v>11</v>
      </c>
      <c r="Y32">
        <v>47</v>
      </c>
      <c r="Z32" s="2" cm="1">
        <f t="array" ref="Z32">SUMPRODUCT((Tabelle2[Seite]=V32)*Tabelle2[Score_Gewichtet])</f>
        <v>7.5499999999999989</v>
      </c>
      <c r="AA32" s="2"/>
      <c r="AD32" t="s">
        <v>150</v>
      </c>
    </row>
    <row r="33" spans="1:31" x14ac:dyDescent="0.2">
      <c r="A33" t="s">
        <v>11</v>
      </c>
      <c r="B33">
        <v>5</v>
      </c>
      <c r="C33" t="s">
        <v>45</v>
      </c>
      <c r="D33" t="s">
        <v>13</v>
      </c>
      <c r="E33" t="s">
        <v>27</v>
      </c>
      <c r="F33">
        <v>2</v>
      </c>
      <c r="G33">
        <v>0</v>
      </c>
      <c r="H33">
        <v>3</v>
      </c>
      <c r="I33">
        <v>0</v>
      </c>
      <c r="J33">
        <v>5</v>
      </c>
      <c r="K33">
        <v>3.5</v>
      </c>
      <c r="R33">
        <v>33</v>
      </c>
      <c r="S33">
        <f t="shared" si="0"/>
        <v>1</v>
      </c>
      <c r="T33">
        <f t="shared" si="1"/>
        <v>115</v>
      </c>
      <c r="V33">
        <v>33</v>
      </c>
      <c r="W33" s="1">
        <f>Tabelle3[[#This Row],[Seite]]-1</f>
        <v>32</v>
      </c>
      <c r="X33">
        <v>1</v>
      </c>
      <c r="Y33">
        <v>115</v>
      </c>
      <c r="Z33" s="2" cm="1">
        <f t="array" ref="Z33">SUMPRODUCT((Tabelle2[Seite]=V33)*Tabelle2[Score_Gewichtet])</f>
        <v>7.8</v>
      </c>
      <c r="AA33" s="2"/>
      <c r="AD33" t="s">
        <v>150</v>
      </c>
    </row>
    <row r="34" spans="1:31" x14ac:dyDescent="0.2">
      <c r="A34" t="s">
        <v>11</v>
      </c>
      <c r="B34">
        <v>5</v>
      </c>
      <c r="C34" t="s">
        <v>45</v>
      </c>
      <c r="D34" t="s">
        <v>13</v>
      </c>
      <c r="E34" t="s">
        <v>46</v>
      </c>
      <c r="F34">
        <v>0</v>
      </c>
      <c r="G34">
        <v>0</v>
      </c>
      <c r="H34">
        <v>0</v>
      </c>
      <c r="I34">
        <v>1</v>
      </c>
      <c r="J34">
        <v>1</v>
      </c>
      <c r="K34">
        <v>0.1</v>
      </c>
      <c r="R34">
        <v>34</v>
      </c>
      <c r="S34">
        <f t="shared" si="0"/>
        <v>9</v>
      </c>
      <c r="T34">
        <f t="shared" si="1"/>
        <v>61</v>
      </c>
      <c r="V34">
        <v>34</v>
      </c>
      <c r="W34" s="1">
        <f>Tabelle3[[#This Row],[Seite]]-1</f>
        <v>33</v>
      </c>
      <c r="X34">
        <v>9</v>
      </c>
      <c r="Y34">
        <v>61</v>
      </c>
      <c r="Z34" s="2" cm="1">
        <f t="array" ref="Z34">SUMPRODUCT((Tabelle2[Seite]=V34)*Tabelle2[Score_Gewichtet])</f>
        <v>11.7</v>
      </c>
      <c r="AA34" s="2"/>
      <c r="AD34" t="s">
        <v>150</v>
      </c>
    </row>
    <row r="35" spans="1:31" x14ac:dyDescent="0.2">
      <c r="A35" t="s">
        <v>11</v>
      </c>
      <c r="B35">
        <v>5</v>
      </c>
      <c r="C35" t="s">
        <v>45</v>
      </c>
      <c r="D35" t="s">
        <v>13</v>
      </c>
      <c r="E35" t="s">
        <v>47</v>
      </c>
      <c r="F35">
        <v>0</v>
      </c>
      <c r="G35">
        <v>1</v>
      </c>
      <c r="H35">
        <v>0</v>
      </c>
      <c r="I35">
        <v>0</v>
      </c>
      <c r="J35">
        <v>1</v>
      </c>
      <c r="K35">
        <v>0.75</v>
      </c>
      <c r="R35">
        <v>35</v>
      </c>
      <c r="S35">
        <f t="shared" si="0"/>
        <v>3</v>
      </c>
      <c r="T35">
        <f t="shared" si="1"/>
        <v>108</v>
      </c>
      <c r="V35">
        <v>35</v>
      </c>
      <c r="W35" s="1">
        <f>Tabelle3[[#This Row],[Seite]]-1</f>
        <v>34</v>
      </c>
      <c r="X35">
        <v>3</v>
      </c>
      <c r="Y35">
        <v>108</v>
      </c>
      <c r="Z35" s="2" cm="1">
        <f t="array" ref="Z35">SUMPRODUCT((Tabelle2[Seite]=V35)*Tabelle2[Score_Gewichtet])</f>
        <v>1.7000000000000002</v>
      </c>
      <c r="AA35" s="2"/>
      <c r="AD35" t="s">
        <v>150</v>
      </c>
    </row>
    <row r="36" spans="1:31" x14ac:dyDescent="0.2">
      <c r="A36" t="s">
        <v>11</v>
      </c>
      <c r="B36">
        <v>5</v>
      </c>
      <c r="C36" t="s">
        <v>45</v>
      </c>
      <c r="D36" t="s">
        <v>18</v>
      </c>
      <c r="E36" t="s">
        <v>48</v>
      </c>
      <c r="F36">
        <v>0</v>
      </c>
      <c r="G36">
        <v>0</v>
      </c>
      <c r="H36">
        <v>1</v>
      </c>
      <c r="I36">
        <v>0</v>
      </c>
      <c r="J36">
        <v>1</v>
      </c>
      <c r="K36">
        <v>0.5</v>
      </c>
      <c r="R36">
        <v>36</v>
      </c>
      <c r="S36">
        <f t="shared" si="0"/>
        <v>2</v>
      </c>
      <c r="T36">
        <f t="shared" si="1"/>
        <v>112</v>
      </c>
      <c r="V36">
        <v>36</v>
      </c>
      <c r="W36" s="1">
        <f>Tabelle3[[#This Row],[Seite]]-1</f>
        <v>35</v>
      </c>
      <c r="X36">
        <v>2</v>
      </c>
      <c r="Y36">
        <v>112</v>
      </c>
      <c r="Z36" s="2" cm="1">
        <f t="array" ref="Z36">SUMPRODUCT((Tabelle2[Seite]=V36)*Tabelle2[Score_Gewichtet])</f>
        <v>4.75</v>
      </c>
      <c r="AA36" s="2"/>
      <c r="AD36" t="s">
        <v>150</v>
      </c>
    </row>
    <row r="37" spans="1:31" x14ac:dyDescent="0.2">
      <c r="A37" t="s">
        <v>11</v>
      </c>
      <c r="B37">
        <v>5</v>
      </c>
      <c r="C37" t="s">
        <v>45</v>
      </c>
      <c r="D37" t="s">
        <v>28</v>
      </c>
      <c r="E37" t="s">
        <v>48</v>
      </c>
      <c r="F37">
        <v>0</v>
      </c>
      <c r="G37">
        <v>0</v>
      </c>
      <c r="H37">
        <v>1</v>
      </c>
      <c r="I37">
        <v>0</v>
      </c>
      <c r="J37">
        <v>1</v>
      </c>
      <c r="K37">
        <v>0.5</v>
      </c>
      <c r="R37">
        <v>37</v>
      </c>
      <c r="S37">
        <f t="shared" si="0"/>
        <v>12</v>
      </c>
      <c r="T37">
        <f t="shared" si="1"/>
        <v>39</v>
      </c>
      <c r="V37">
        <v>37</v>
      </c>
      <c r="W37" s="1">
        <f>Tabelle3[[#This Row],[Seite]]-1</f>
        <v>36</v>
      </c>
      <c r="X37">
        <v>12</v>
      </c>
      <c r="Y37">
        <v>39</v>
      </c>
      <c r="Z37" s="2" cm="1">
        <f t="array" ref="Z37">SUMPRODUCT((Tabelle2[Seite]=V37)*Tabelle2[Score_Gewichtet])</f>
        <v>9.1999999999999975</v>
      </c>
      <c r="AA37" s="2"/>
      <c r="AD37" t="s">
        <v>150</v>
      </c>
    </row>
    <row r="38" spans="1:31" x14ac:dyDescent="0.2">
      <c r="A38" t="s">
        <v>11</v>
      </c>
      <c r="B38">
        <v>6</v>
      </c>
      <c r="C38" t="s">
        <v>20</v>
      </c>
      <c r="D38" t="s">
        <v>13</v>
      </c>
      <c r="E38" t="s">
        <v>27</v>
      </c>
      <c r="F38">
        <v>0</v>
      </c>
      <c r="G38">
        <v>0</v>
      </c>
      <c r="H38">
        <v>2</v>
      </c>
      <c r="I38">
        <v>0</v>
      </c>
      <c r="J38">
        <v>2</v>
      </c>
      <c r="K38">
        <v>1</v>
      </c>
      <c r="R38">
        <v>38</v>
      </c>
      <c r="S38">
        <f t="shared" si="0"/>
        <v>6</v>
      </c>
      <c r="T38">
        <f t="shared" si="1"/>
        <v>95</v>
      </c>
      <c r="V38">
        <v>38</v>
      </c>
      <c r="W38" s="1">
        <f>Tabelle3[[#This Row],[Seite]]-1</f>
        <v>37</v>
      </c>
      <c r="X38">
        <v>6</v>
      </c>
      <c r="Y38">
        <v>95</v>
      </c>
      <c r="Z38" s="2" cm="1">
        <f t="array" ref="Z38">SUMPRODUCT((Tabelle2[Seite]=V38)*Tabelle2[Score_Gewichtet])</f>
        <v>13.7</v>
      </c>
      <c r="AA38" s="2"/>
      <c r="AD38" t="s">
        <v>150</v>
      </c>
    </row>
    <row r="39" spans="1:31" x14ac:dyDescent="0.2">
      <c r="A39" t="s">
        <v>11</v>
      </c>
      <c r="B39">
        <v>6</v>
      </c>
      <c r="C39" t="s">
        <v>20</v>
      </c>
      <c r="D39" t="s">
        <v>18</v>
      </c>
      <c r="E39" t="s">
        <v>27</v>
      </c>
      <c r="F39">
        <v>0</v>
      </c>
      <c r="G39">
        <v>0</v>
      </c>
      <c r="H39">
        <v>2</v>
      </c>
      <c r="I39">
        <v>0</v>
      </c>
      <c r="J39">
        <v>2</v>
      </c>
      <c r="K39">
        <v>1</v>
      </c>
      <c r="R39">
        <v>39</v>
      </c>
      <c r="S39">
        <f t="shared" si="0"/>
        <v>8</v>
      </c>
      <c r="T39">
        <f t="shared" si="1"/>
        <v>75</v>
      </c>
      <c r="V39">
        <v>39</v>
      </c>
      <c r="W39" s="1">
        <f>Tabelle3[[#This Row],[Seite]]-1</f>
        <v>38</v>
      </c>
      <c r="X39">
        <v>8</v>
      </c>
      <c r="Y39">
        <v>75</v>
      </c>
      <c r="Z39" s="2" cm="1">
        <f t="array" ref="Z39">SUMPRODUCT((Tabelle2[Seite]=V39)*Tabelle2[Score_Gewichtet])</f>
        <v>6.3</v>
      </c>
      <c r="AA39" s="2"/>
      <c r="AD39" t="s">
        <v>150</v>
      </c>
    </row>
    <row r="40" spans="1:31" x14ac:dyDescent="0.2">
      <c r="A40" t="s">
        <v>11</v>
      </c>
      <c r="B40">
        <v>6</v>
      </c>
      <c r="C40" t="s">
        <v>20</v>
      </c>
      <c r="D40" t="s">
        <v>28</v>
      </c>
      <c r="E40" t="s">
        <v>29</v>
      </c>
      <c r="F40">
        <v>3</v>
      </c>
      <c r="G40">
        <v>0</v>
      </c>
      <c r="H40">
        <v>0</v>
      </c>
      <c r="I40">
        <v>0</v>
      </c>
      <c r="J40">
        <v>3</v>
      </c>
      <c r="K40">
        <v>3</v>
      </c>
      <c r="R40">
        <v>40</v>
      </c>
      <c r="S40">
        <f t="shared" si="0"/>
        <v>6</v>
      </c>
      <c r="T40">
        <f t="shared" si="1"/>
        <v>95</v>
      </c>
      <c r="V40">
        <v>40</v>
      </c>
      <c r="W40" s="1">
        <f>Tabelle3[[#This Row],[Seite]]-1</f>
        <v>39</v>
      </c>
      <c r="X40">
        <v>6</v>
      </c>
      <c r="Y40">
        <v>95</v>
      </c>
      <c r="Z40" s="2" cm="1">
        <f t="array" ref="Z40">SUMPRODUCT((Tabelle2[Seite]=V40)*Tabelle2[Score_Gewichtet])</f>
        <v>6.3</v>
      </c>
      <c r="AA40" s="2" t="s">
        <v>155</v>
      </c>
      <c r="AB40" t="s">
        <v>151</v>
      </c>
      <c r="AE40">
        <v>1</v>
      </c>
    </row>
    <row r="41" spans="1:31" x14ac:dyDescent="0.2">
      <c r="A41" t="s">
        <v>11</v>
      </c>
      <c r="B41">
        <v>6</v>
      </c>
      <c r="C41" t="s">
        <v>15</v>
      </c>
      <c r="D41" t="s">
        <v>13</v>
      </c>
      <c r="E41" t="s">
        <v>49</v>
      </c>
      <c r="F41">
        <v>0</v>
      </c>
      <c r="G41">
        <v>1</v>
      </c>
      <c r="H41">
        <v>0</v>
      </c>
      <c r="I41">
        <v>0</v>
      </c>
      <c r="J41">
        <v>1</v>
      </c>
      <c r="K41">
        <v>0.75</v>
      </c>
      <c r="R41">
        <v>41</v>
      </c>
      <c r="S41">
        <f t="shared" si="0"/>
        <v>18</v>
      </c>
      <c r="T41">
        <f t="shared" si="1"/>
        <v>18</v>
      </c>
      <c r="V41">
        <v>41</v>
      </c>
      <c r="W41" s="1">
        <f>Tabelle3[[#This Row],[Seite]]-1</f>
        <v>40</v>
      </c>
      <c r="X41">
        <v>18</v>
      </c>
      <c r="Y41">
        <v>18</v>
      </c>
      <c r="Z41" s="2" cm="1">
        <f t="array" ref="Z41">SUMPRODUCT((Tabelle2[Seite]=V41)*Tabelle2[Score_Gewichtet])</f>
        <v>25.500000000000004</v>
      </c>
      <c r="AA41" s="2" t="s">
        <v>155</v>
      </c>
      <c r="AB41" t="s">
        <v>151</v>
      </c>
      <c r="AE41">
        <v>1</v>
      </c>
    </row>
    <row r="42" spans="1:31" x14ac:dyDescent="0.2">
      <c r="A42" t="s">
        <v>11</v>
      </c>
      <c r="B42">
        <v>6</v>
      </c>
      <c r="C42" t="s">
        <v>17</v>
      </c>
      <c r="D42" t="s">
        <v>13</v>
      </c>
      <c r="E42" t="s">
        <v>40</v>
      </c>
      <c r="F42">
        <v>0</v>
      </c>
      <c r="G42">
        <v>0</v>
      </c>
      <c r="H42">
        <v>0</v>
      </c>
      <c r="I42">
        <v>1</v>
      </c>
      <c r="J42">
        <v>1</v>
      </c>
      <c r="K42">
        <v>0.1</v>
      </c>
      <c r="R42">
        <v>42</v>
      </c>
      <c r="S42">
        <f t="shared" si="0"/>
        <v>35</v>
      </c>
      <c r="T42">
        <f t="shared" si="1"/>
        <v>2</v>
      </c>
      <c r="V42">
        <v>42</v>
      </c>
      <c r="W42" s="1">
        <f>Tabelle3[[#This Row],[Seite]]-1</f>
        <v>41</v>
      </c>
      <c r="X42">
        <v>35</v>
      </c>
      <c r="Y42">
        <v>2</v>
      </c>
      <c r="Z42" s="2" cm="1">
        <f t="array" ref="Z42">SUMPRODUCT((Tabelle2[Seite]=V42)*Tabelle2[Score_Gewichtet])</f>
        <v>40.70000000000001</v>
      </c>
      <c r="AA42" s="2"/>
      <c r="AD42" t="s">
        <v>150</v>
      </c>
    </row>
    <row r="43" spans="1:31" x14ac:dyDescent="0.2">
      <c r="A43" t="s">
        <v>11</v>
      </c>
      <c r="B43">
        <v>6</v>
      </c>
      <c r="C43" t="s">
        <v>42</v>
      </c>
      <c r="D43" t="s">
        <v>13</v>
      </c>
      <c r="E43" t="s">
        <v>50</v>
      </c>
      <c r="F43">
        <v>0</v>
      </c>
      <c r="G43">
        <v>2</v>
      </c>
      <c r="H43">
        <v>0</v>
      </c>
      <c r="I43">
        <v>0</v>
      </c>
      <c r="J43">
        <v>2</v>
      </c>
      <c r="K43">
        <v>1.5</v>
      </c>
      <c r="R43">
        <v>43</v>
      </c>
      <c r="S43">
        <f t="shared" si="0"/>
        <v>7</v>
      </c>
      <c r="T43">
        <f t="shared" si="1"/>
        <v>87</v>
      </c>
      <c r="V43">
        <v>43</v>
      </c>
      <c r="W43" s="1">
        <f>Tabelle3[[#This Row],[Seite]]-1</f>
        <v>42</v>
      </c>
      <c r="X43">
        <v>7</v>
      </c>
      <c r="Y43">
        <v>87</v>
      </c>
      <c r="Z43" s="2" cm="1">
        <f t="array" ref="Z43">SUMPRODUCT((Tabelle2[Seite]=V43)*Tabelle2[Score_Gewichtet])</f>
        <v>6.7</v>
      </c>
      <c r="AA43" s="2"/>
      <c r="AD43" t="s">
        <v>150</v>
      </c>
    </row>
    <row r="44" spans="1:31" x14ac:dyDescent="0.2">
      <c r="A44" t="s">
        <v>11</v>
      </c>
      <c r="B44">
        <v>6</v>
      </c>
      <c r="C44" t="s">
        <v>42</v>
      </c>
      <c r="D44" t="s">
        <v>28</v>
      </c>
      <c r="E44" t="s">
        <v>51</v>
      </c>
      <c r="F44">
        <v>0</v>
      </c>
      <c r="G44">
        <v>1</v>
      </c>
      <c r="H44">
        <v>0</v>
      </c>
      <c r="I44">
        <v>0</v>
      </c>
      <c r="J44">
        <v>1</v>
      </c>
      <c r="K44">
        <v>0.75</v>
      </c>
      <c r="R44">
        <v>44</v>
      </c>
      <c r="S44">
        <f t="shared" si="0"/>
        <v>2</v>
      </c>
      <c r="T44">
        <f t="shared" si="1"/>
        <v>112</v>
      </c>
      <c r="V44">
        <v>44</v>
      </c>
      <c r="W44" s="1">
        <f>Tabelle3[[#This Row],[Seite]]-1</f>
        <v>43</v>
      </c>
      <c r="X44">
        <v>2</v>
      </c>
      <c r="Y44">
        <v>112</v>
      </c>
      <c r="Z44" s="2" cm="1">
        <f t="array" ref="Z44">SUMPRODUCT((Tabelle2[Seite]=V44)*Tabelle2[Score_Gewichtet])</f>
        <v>1.25</v>
      </c>
      <c r="AA44" s="2"/>
      <c r="AD44" t="s">
        <v>150</v>
      </c>
    </row>
    <row r="45" spans="1:31" x14ac:dyDescent="0.2">
      <c r="A45" t="s">
        <v>11</v>
      </c>
      <c r="B45">
        <v>6</v>
      </c>
      <c r="C45" t="s">
        <v>42</v>
      </c>
      <c r="D45" t="s">
        <v>13</v>
      </c>
      <c r="E45" t="s">
        <v>52</v>
      </c>
      <c r="F45">
        <v>0</v>
      </c>
      <c r="G45">
        <v>0</v>
      </c>
      <c r="H45">
        <v>3</v>
      </c>
      <c r="I45">
        <v>0</v>
      </c>
      <c r="J45">
        <v>3</v>
      </c>
      <c r="K45">
        <v>1.5</v>
      </c>
      <c r="R45">
        <v>45</v>
      </c>
      <c r="S45">
        <f t="shared" si="0"/>
        <v>15</v>
      </c>
      <c r="T45">
        <f t="shared" si="1"/>
        <v>26</v>
      </c>
      <c r="V45">
        <v>45</v>
      </c>
      <c r="W45" s="1">
        <f>Tabelle3[[#This Row],[Seite]]-1</f>
        <v>44</v>
      </c>
      <c r="X45">
        <v>15</v>
      </c>
      <c r="Y45">
        <v>26</v>
      </c>
      <c r="Z45" s="2" cm="1">
        <f t="array" ref="Z45">SUMPRODUCT((Tabelle2[Seite]=V45)*Tabelle2[Score_Gewichtet])</f>
        <v>19.049999999999997</v>
      </c>
      <c r="AA45" s="2"/>
      <c r="AD45" t="s">
        <v>150</v>
      </c>
    </row>
    <row r="46" spans="1:31" x14ac:dyDescent="0.2">
      <c r="A46" t="s">
        <v>11</v>
      </c>
      <c r="B46">
        <v>6</v>
      </c>
      <c r="C46" t="s">
        <v>45</v>
      </c>
      <c r="D46" t="s">
        <v>13</v>
      </c>
      <c r="E46" t="s">
        <v>27</v>
      </c>
      <c r="F46">
        <v>0</v>
      </c>
      <c r="G46">
        <v>0</v>
      </c>
      <c r="H46">
        <v>2</v>
      </c>
      <c r="I46">
        <v>0</v>
      </c>
      <c r="J46">
        <v>2</v>
      </c>
      <c r="K46">
        <v>1</v>
      </c>
      <c r="R46">
        <v>46</v>
      </c>
      <c r="S46">
        <f t="shared" si="0"/>
        <v>5</v>
      </c>
      <c r="T46">
        <f t="shared" si="1"/>
        <v>100</v>
      </c>
      <c r="V46">
        <v>46</v>
      </c>
      <c r="W46" s="1">
        <f>Tabelle3[[#This Row],[Seite]]-1</f>
        <v>45</v>
      </c>
      <c r="X46">
        <v>5</v>
      </c>
      <c r="Y46">
        <v>100</v>
      </c>
      <c r="Z46" s="2" cm="1">
        <f t="array" ref="Z46">SUMPRODUCT((Tabelle2[Seite]=V46)*Tabelle2[Score_Gewichtet])</f>
        <v>8.25</v>
      </c>
      <c r="AA46" s="2"/>
      <c r="AD46" t="s">
        <v>150</v>
      </c>
    </row>
    <row r="47" spans="1:31" x14ac:dyDescent="0.2">
      <c r="A47" t="s">
        <v>11</v>
      </c>
      <c r="B47">
        <v>7</v>
      </c>
      <c r="C47" t="s">
        <v>20</v>
      </c>
      <c r="D47" t="s">
        <v>28</v>
      </c>
      <c r="E47" t="s">
        <v>29</v>
      </c>
      <c r="F47">
        <v>3</v>
      </c>
      <c r="G47">
        <v>0</v>
      </c>
      <c r="H47">
        <v>2</v>
      </c>
      <c r="I47">
        <v>0</v>
      </c>
      <c r="J47">
        <v>5</v>
      </c>
      <c r="K47">
        <v>4</v>
      </c>
      <c r="R47">
        <v>47</v>
      </c>
      <c r="S47">
        <f t="shared" si="0"/>
        <v>9</v>
      </c>
      <c r="T47">
        <f t="shared" si="1"/>
        <v>61</v>
      </c>
      <c r="V47">
        <v>47</v>
      </c>
      <c r="W47" s="1">
        <f>Tabelle3[[#This Row],[Seite]]-1</f>
        <v>46</v>
      </c>
      <c r="X47">
        <v>9</v>
      </c>
      <c r="Y47">
        <v>61</v>
      </c>
      <c r="Z47" s="2" cm="1">
        <f t="array" ref="Z47">SUMPRODUCT((Tabelle2[Seite]=V47)*Tabelle2[Score_Gewichtet])</f>
        <v>13.4</v>
      </c>
      <c r="AA47" s="2"/>
      <c r="AD47" t="s">
        <v>150</v>
      </c>
    </row>
    <row r="48" spans="1:31" x14ac:dyDescent="0.2">
      <c r="A48" t="s">
        <v>11</v>
      </c>
      <c r="B48">
        <v>7</v>
      </c>
      <c r="C48" t="s">
        <v>20</v>
      </c>
      <c r="D48" t="s">
        <v>28</v>
      </c>
      <c r="E48" t="s">
        <v>53</v>
      </c>
      <c r="F48">
        <v>0</v>
      </c>
      <c r="G48">
        <v>0</v>
      </c>
      <c r="H48">
        <v>1</v>
      </c>
      <c r="I48">
        <v>0</v>
      </c>
      <c r="J48">
        <v>1</v>
      </c>
      <c r="K48">
        <v>0.5</v>
      </c>
      <c r="R48">
        <v>48</v>
      </c>
      <c r="S48">
        <f t="shared" si="0"/>
        <v>10</v>
      </c>
      <c r="T48">
        <f t="shared" si="1"/>
        <v>55</v>
      </c>
      <c r="V48">
        <v>48</v>
      </c>
      <c r="W48" s="1">
        <f>Tabelle3[[#This Row],[Seite]]-1</f>
        <v>47</v>
      </c>
      <c r="X48">
        <v>10</v>
      </c>
      <c r="Y48">
        <v>55</v>
      </c>
      <c r="Z48" s="2" cm="1">
        <f t="array" ref="Z48">SUMPRODUCT((Tabelle2[Seite]=V48)*Tabelle2[Score_Gewichtet])</f>
        <v>24.400000000000002</v>
      </c>
      <c r="AA48" s="2"/>
      <c r="AD48" t="s">
        <v>150</v>
      </c>
    </row>
    <row r="49" spans="1:31" x14ac:dyDescent="0.2">
      <c r="A49" t="s">
        <v>11</v>
      </c>
      <c r="B49">
        <v>7</v>
      </c>
      <c r="C49" t="s">
        <v>20</v>
      </c>
      <c r="D49" t="s">
        <v>13</v>
      </c>
      <c r="E49" t="s">
        <v>37</v>
      </c>
      <c r="F49">
        <v>0</v>
      </c>
      <c r="G49">
        <v>0</v>
      </c>
      <c r="H49">
        <v>0</v>
      </c>
      <c r="I49">
        <v>1</v>
      </c>
      <c r="J49">
        <v>1</v>
      </c>
      <c r="K49">
        <v>0.1</v>
      </c>
      <c r="R49">
        <v>49</v>
      </c>
      <c r="S49">
        <f t="shared" si="0"/>
        <v>8</v>
      </c>
      <c r="T49">
        <f t="shared" si="1"/>
        <v>75</v>
      </c>
      <c r="V49">
        <v>49</v>
      </c>
      <c r="W49" s="1">
        <f>Tabelle3[[#This Row],[Seite]]-1</f>
        <v>48</v>
      </c>
      <c r="X49">
        <v>8</v>
      </c>
      <c r="Y49">
        <v>75</v>
      </c>
      <c r="Z49" s="2" cm="1">
        <f t="array" ref="Z49">SUMPRODUCT((Tabelle2[Seite]=V49)*Tabelle2[Score_Gewichtet])</f>
        <v>14.149999999999999</v>
      </c>
      <c r="AA49" s="2"/>
      <c r="AD49" t="s">
        <v>150</v>
      </c>
    </row>
    <row r="50" spans="1:31" x14ac:dyDescent="0.2">
      <c r="A50" t="s">
        <v>11</v>
      </c>
      <c r="B50">
        <v>7</v>
      </c>
      <c r="C50" t="s">
        <v>22</v>
      </c>
      <c r="D50" t="s">
        <v>13</v>
      </c>
      <c r="E50" t="s">
        <v>54</v>
      </c>
      <c r="F50">
        <v>0</v>
      </c>
      <c r="G50">
        <v>0</v>
      </c>
      <c r="H50">
        <v>0</v>
      </c>
      <c r="I50">
        <v>1</v>
      </c>
      <c r="J50">
        <v>1</v>
      </c>
      <c r="K50">
        <v>0.1</v>
      </c>
      <c r="R50">
        <v>50</v>
      </c>
      <c r="S50">
        <f t="shared" si="0"/>
        <v>9</v>
      </c>
      <c r="T50">
        <f t="shared" si="1"/>
        <v>61</v>
      </c>
      <c r="V50">
        <v>50</v>
      </c>
      <c r="W50" s="1">
        <f>Tabelle3[[#This Row],[Seite]]-1</f>
        <v>49</v>
      </c>
      <c r="X50">
        <v>9</v>
      </c>
      <c r="Y50">
        <v>61</v>
      </c>
      <c r="Z50" s="2" cm="1">
        <f t="array" ref="Z50">SUMPRODUCT((Tabelle2[Seite]=V50)*Tabelle2[Score_Gewichtet])</f>
        <v>15.6</v>
      </c>
      <c r="AA50" s="2"/>
      <c r="AD50" t="s">
        <v>150</v>
      </c>
    </row>
    <row r="51" spans="1:31" x14ac:dyDescent="0.2">
      <c r="A51" t="s">
        <v>11</v>
      </c>
      <c r="B51">
        <v>7</v>
      </c>
      <c r="C51" t="s">
        <v>22</v>
      </c>
      <c r="D51" t="s">
        <v>13</v>
      </c>
      <c r="E51" t="s">
        <v>55</v>
      </c>
      <c r="F51">
        <v>0</v>
      </c>
      <c r="G51">
        <v>0</v>
      </c>
      <c r="H51">
        <v>1</v>
      </c>
      <c r="I51">
        <v>0</v>
      </c>
      <c r="J51">
        <v>1</v>
      </c>
      <c r="K51">
        <v>0.5</v>
      </c>
      <c r="R51">
        <v>51</v>
      </c>
      <c r="S51">
        <f t="shared" si="0"/>
        <v>16</v>
      </c>
      <c r="T51">
        <f t="shared" si="1"/>
        <v>21</v>
      </c>
      <c r="V51">
        <v>51</v>
      </c>
      <c r="W51" s="1">
        <f>Tabelle3[[#This Row],[Seite]]-1</f>
        <v>50</v>
      </c>
      <c r="X51">
        <v>16</v>
      </c>
      <c r="Y51">
        <v>21</v>
      </c>
      <c r="Z51" s="2" cm="1">
        <f t="array" ref="Z51">SUMPRODUCT((Tabelle2[Seite]=V51)*Tabelle2[Score_Gewichtet])</f>
        <v>15.7</v>
      </c>
      <c r="AA51" s="2"/>
      <c r="AD51" t="s">
        <v>150</v>
      </c>
    </row>
    <row r="52" spans="1:31" x14ac:dyDescent="0.2">
      <c r="A52" t="s">
        <v>11</v>
      </c>
      <c r="B52">
        <v>7</v>
      </c>
      <c r="C52" t="s">
        <v>42</v>
      </c>
      <c r="D52" t="s">
        <v>28</v>
      </c>
      <c r="E52" t="s">
        <v>43</v>
      </c>
      <c r="F52">
        <v>0</v>
      </c>
      <c r="G52">
        <v>0</v>
      </c>
      <c r="H52">
        <v>0</v>
      </c>
      <c r="I52">
        <v>1</v>
      </c>
      <c r="J52">
        <v>1</v>
      </c>
      <c r="K52">
        <v>0.1</v>
      </c>
      <c r="R52">
        <v>52</v>
      </c>
      <c r="S52">
        <f t="shared" si="0"/>
        <v>20</v>
      </c>
      <c r="T52">
        <f t="shared" si="1"/>
        <v>13</v>
      </c>
      <c r="V52">
        <v>52</v>
      </c>
      <c r="W52" s="1">
        <f>Tabelle3[[#This Row],[Seite]]-1</f>
        <v>51</v>
      </c>
      <c r="X52">
        <v>20</v>
      </c>
      <c r="Y52">
        <v>13</v>
      </c>
      <c r="Z52" s="2" cm="1">
        <f t="array" ref="Z52">SUMPRODUCT((Tabelle2[Seite]=V52)*Tabelle2[Score_Gewichtet])</f>
        <v>44.75</v>
      </c>
      <c r="AA52" s="2"/>
      <c r="AD52" t="s">
        <v>150</v>
      </c>
    </row>
    <row r="53" spans="1:31" x14ac:dyDescent="0.2">
      <c r="A53" t="s">
        <v>11</v>
      </c>
      <c r="B53">
        <v>7</v>
      </c>
      <c r="C53" t="s">
        <v>42</v>
      </c>
      <c r="D53" t="s">
        <v>13</v>
      </c>
      <c r="E53" t="s">
        <v>56</v>
      </c>
      <c r="F53">
        <v>0</v>
      </c>
      <c r="G53">
        <v>0</v>
      </c>
      <c r="H53">
        <v>2</v>
      </c>
      <c r="I53">
        <v>0</v>
      </c>
      <c r="J53">
        <v>2</v>
      </c>
      <c r="K53">
        <v>1</v>
      </c>
      <c r="R53">
        <v>53</v>
      </c>
      <c r="S53">
        <f t="shared" si="0"/>
        <v>8</v>
      </c>
      <c r="T53">
        <f t="shared" si="1"/>
        <v>75</v>
      </c>
      <c r="V53">
        <v>53</v>
      </c>
      <c r="W53" s="1">
        <f>Tabelle3[[#This Row],[Seite]]-1</f>
        <v>52</v>
      </c>
      <c r="X53">
        <v>8</v>
      </c>
      <c r="Y53">
        <v>75</v>
      </c>
      <c r="Z53" s="2" cm="1">
        <f t="array" ref="Z53">SUMPRODUCT((Tabelle2[Seite]=V53)*Tabelle2[Score_Gewichtet])</f>
        <v>2.95</v>
      </c>
      <c r="AA53" s="2" t="s">
        <v>158</v>
      </c>
      <c r="AB53" t="s">
        <v>151</v>
      </c>
      <c r="AE53">
        <v>1</v>
      </c>
    </row>
    <row r="54" spans="1:31" x14ac:dyDescent="0.2">
      <c r="A54" t="s">
        <v>11</v>
      </c>
      <c r="B54">
        <v>7</v>
      </c>
      <c r="C54" t="s">
        <v>45</v>
      </c>
      <c r="D54" t="s">
        <v>13</v>
      </c>
      <c r="E54" t="s">
        <v>47</v>
      </c>
      <c r="F54">
        <v>14</v>
      </c>
      <c r="G54">
        <v>0</v>
      </c>
      <c r="H54">
        <v>0</v>
      </c>
      <c r="I54">
        <v>0</v>
      </c>
      <c r="J54">
        <v>14</v>
      </c>
      <c r="K54">
        <v>14</v>
      </c>
      <c r="R54">
        <v>54</v>
      </c>
      <c r="S54">
        <f t="shared" si="0"/>
        <v>12</v>
      </c>
      <c r="T54">
        <f t="shared" si="1"/>
        <v>39</v>
      </c>
      <c r="V54">
        <v>54</v>
      </c>
      <c r="W54" s="1">
        <f>Tabelle3[[#This Row],[Seite]]-1</f>
        <v>53</v>
      </c>
      <c r="X54">
        <v>12</v>
      </c>
      <c r="Y54">
        <v>39</v>
      </c>
      <c r="Z54" s="2" cm="1">
        <f t="array" ref="Z54">SUMPRODUCT((Tabelle2[Seite]=V54)*Tabelle2[Score_Gewichtet])</f>
        <v>9.9999999999999982</v>
      </c>
      <c r="AA54" s="2" t="s">
        <v>158</v>
      </c>
      <c r="AB54" t="s">
        <v>151</v>
      </c>
      <c r="AE54">
        <v>1</v>
      </c>
    </row>
    <row r="55" spans="1:31" x14ac:dyDescent="0.2">
      <c r="A55" t="s">
        <v>11</v>
      </c>
      <c r="B55">
        <v>7</v>
      </c>
      <c r="C55" t="s">
        <v>45</v>
      </c>
      <c r="D55" t="s">
        <v>18</v>
      </c>
      <c r="E55" t="s">
        <v>48</v>
      </c>
      <c r="F55">
        <v>0</v>
      </c>
      <c r="G55">
        <v>0</v>
      </c>
      <c r="H55">
        <v>14</v>
      </c>
      <c r="I55">
        <v>0</v>
      </c>
      <c r="J55">
        <v>14</v>
      </c>
      <c r="K55">
        <v>7</v>
      </c>
      <c r="R55">
        <v>55</v>
      </c>
      <c r="S55">
        <f t="shared" si="0"/>
        <v>15</v>
      </c>
      <c r="T55">
        <f t="shared" si="1"/>
        <v>26</v>
      </c>
      <c r="V55">
        <v>55</v>
      </c>
      <c r="W55" s="1">
        <f>Tabelle3[[#This Row],[Seite]]-1</f>
        <v>54</v>
      </c>
      <c r="X55">
        <v>15</v>
      </c>
      <c r="Y55">
        <v>26</v>
      </c>
      <c r="Z55" s="2" cm="1">
        <f t="array" ref="Z55">SUMPRODUCT((Tabelle2[Seite]=V55)*Tabelle2[Score_Gewichtet])</f>
        <v>8.8499999999999979</v>
      </c>
      <c r="AA55" s="2"/>
      <c r="AD55" t="s">
        <v>150</v>
      </c>
    </row>
    <row r="56" spans="1:31" x14ac:dyDescent="0.2">
      <c r="A56" t="s">
        <v>11</v>
      </c>
      <c r="B56">
        <v>7</v>
      </c>
      <c r="C56" t="s">
        <v>45</v>
      </c>
      <c r="D56" t="s">
        <v>28</v>
      </c>
      <c r="E56" t="s">
        <v>48</v>
      </c>
      <c r="F56">
        <v>0</v>
      </c>
      <c r="G56">
        <v>0</v>
      </c>
      <c r="H56">
        <v>14</v>
      </c>
      <c r="I56">
        <v>0</v>
      </c>
      <c r="J56">
        <v>14</v>
      </c>
      <c r="K56">
        <v>7</v>
      </c>
      <c r="R56">
        <v>56</v>
      </c>
      <c r="S56">
        <f t="shared" si="0"/>
        <v>18</v>
      </c>
      <c r="T56">
        <f t="shared" si="1"/>
        <v>18</v>
      </c>
      <c r="V56">
        <v>56</v>
      </c>
      <c r="W56" s="1">
        <f>Tabelle3[[#This Row],[Seite]]-1</f>
        <v>55</v>
      </c>
      <c r="X56">
        <v>18</v>
      </c>
      <c r="Y56">
        <v>18</v>
      </c>
      <c r="Z56" s="2" cm="1">
        <f t="array" ref="Z56">SUMPRODUCT((Tabelle2[Seite]=V56)*Tabelle2[Score_Gewichtet])</f>
        <v>11.149999999999997</v>
      </c>
      <c r="AA56" s="2"/>
      <c r="AD56" t="s">
        <v>150</v>
      </c>
    </row>
    <row r="57" spans="1:31" x14ac:dyDescent="0.2">
      <c r="A57" t="s">
        <v>11</v>
      </c>
      <c r="B57">
        <v>8</v>
      </c>
      <c r="C57" t="s">
        <v>20</v>
      </c>
      <c r="D57" t="s">
        <v>28</v>
      </c>
      <c r="E57" t="s">
        <v>29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R57">
        <v>57</v>
      </c>
      <c r="S57">
        <f t="shared" si="0"/>
        <v>13</v>
      </c>
      <c r="T57">
        <f t="shared" si="1"/>
        <v>34</v>
      </c>
      <c r="V57">
        <v>57</v>
      </c>
      <c r="W57" s="1">
        <f>Tabelle3[[#This Row],[Seite]]-1</f>
        <v>56</v>
      </c>
      <c r="X57">
        <v>13</v>
      </c>
      <c r="Y57">
        <v>34</v>
      </c>
      <c r="Z57" s="2" cm="1">
        <f t="array" ref="Z57">SUMPRODUCT((Tabelle2[Seite]=V57)*Tabelle2[Score_Gewichtet])</f>
        <v>11.45</v>
      </c>
      <c r="AA57" s="2"/>
      <c r="AD57" t="s">
        <v>150</v>
      </c>
    </row>
    <row r="58" spans="1:31" x14ac:dyDescent="0.2">
      <c r="A58" t="s">
        <v>11</v>
      </c>
      <c r="B58">
        <v>8</v>
      </c>
      <c r="C58" t="s">
        <v>20</v>
      </c>
      <c r="D58" t="s">
        <v>18</v>
      </c>
      <c r="E58" t="s">
        <v>57</v>
      </c>
      <c r="F58">
        <v>0</v>
      </c>
      <c r="G58">
        <v>0</v>
      </c>
      <c r="H58">
        <v>1</v>
      </c>
      <c r="I58">
        <v>0</v>
      </c>
      <c r="J58">
        <v>1</v>
      </c>
      <c r="K58">
        <v>0.6</v>
      </c>
      <c r="R58">
        <v>58</v>
      </c>
      <c r="S58">
        <f t="shared" si="0"/>
        <v>20</v>
      </c>
      <c r="T58">
        <f t="shared" si="1"/>
        <v>13</v>
      </c>
      <c r="V58">
        <v>58</v>
      </c>
      <c r="W58" s="1">
        <f>Tabelle3[[#This Row],[Seite]]-1</f>
        <v>57</v>
      </c>
      <c r="X58">
        <v>20</v>
      </c>
      <c r="Y58">
        <v>13</v>
      </c>
      <c r="Z58" s="2" cm="1">
        <f t="array" ref="Z58">SUMPRODUCT((Tabelle2[Seite]=V58)*Tabelle2[Score_Gewichtet])</f>
        <v>13.299999999999999</v>
      </c>
      <c r="AA58" s="2"/>
      <c r="AD58" t="s">
        <v>150</v>
      </c>
    </row>
    <row r="59" spans="1:31" x14ac:dyDescent="0.2">
      <c r="A59" t="s">
        <v>11</v>
      </c>
      <c r="B59">
        <v>8</v>
      </c>
      <c r="C59" t="s">
        <v>20</v>
      </c>
      <c r="D59" t="s">
        <v>13</v>
      </c>
      <c r="E59" t="s">
        <v>37</v>
      </c>
      <c r="F59">
        <v>1</v>
      </c>
      <c r="G59">
        <v>1</v>
      </c>
      <c r="H59">
        <v>0</v>
      </c>
      <c r="I59">
        <v>0</v>
      </c>
      <c r="J59">
        <v>2</v>
      </c>
      <c r="K59">
        <v>1.75</v>
      </c>
      <c r="R59">
        <v>59</v>
      </c>
      <c r="S59">
        <f t="shared" si="0"/>
        <v>9</v>
      </c>
      <c r="T59">
        <f t="shared" si="1"/>
        <v>61</v>
      </c>
      <c r="V59">
        <v>59</v>
      </c>
      <c r="W59" s="1">
        <f>Tabelle3[[#This Row],[Seite]]-1</f>
        <v>58</v>
      </c>
      <c r="X59">
        <v>9</v>
      </c>
      <c r="Y59">
        <v>61</v>
      </c>
      <c r="Z59" s="2" cm="1">
        <f t="array" ref="Z59">SUMPRODUCT((Tabelle2[Seite]=V59)*Tabelle2[Score_Gewichtet])</f>
        <v>9.6999999999999993</v>
      </c>
      <c r="AA59" s="2"/>
      <c r="AD59" t="s">
        <v>150</v>
      </c>
    </row>
    <row r="60" spans="1:31" x14ac:dyDescent="0.2">
      <c r="A60" t="s">
        <v>11</v>
      </c>
      <c r="B60">
        <v>8</v>
      </c>
      <c r="C60" t="s">
        <v>12</v>
      </c>
      <c r="D60" t="s">
        <v>13</v>
      </c>
      <c r="E60" t="s">
        <v>58</v>
      </c>
      <c r="F60">
        <v>0</v>
      </c>
      <c r="G60">
        <v>0</v>
      </c>
      <c r="H60">
        <v>1</v>
      </c>
      <c r="I60">
        <v>0</v>
      </c>
      <c r="J60">
        <v>1</v>
      </c>
      <c r="K60">
        <v>0.5</v>
      </c>
      <c r="R60">
        <v>60</v>
      </c>
      <c r="S60">
        <f t="shared" si="0"/>
        <v>13</v>
      </c>
      <c r="T60">
        <f t="shared" si="1"/>
        <v>34</v>
      </c>
      <c r="V60">
        <v>60</v>
      </c>
      <c r="W60" s="1">
        <f>Tabelle3[[#This Row],[Seite]]-1</f>
        <v>59</v>
      </c>
      <c r="X60">
        <v>13</v>
      </c>
      <c r="Y60">
        <v>34</v>
      </c>
      <c r="Z60" s="2" cm="1">
        <f t="array" ref="Z60">SUMPRODUCT((Tabelle2[Seite]=V60)*Tabelle2[Score_Gewichtet])</f>
        <v>9.9499999999999993</v>
      </c>
      <c r="AA60" s="2"/>
      <c r="AD60" t="s">
        <v>150</v>
      </c>
    </row>
    <row r="61" spans="1:31" x14ac:dyDescent="0.2">
      <c r="A61" t="s">
        <v>11</v>
      </c>
      <c r="B61">
        <v>8</v>
      </c>
      <c r="C61" t="s">
        <v>15</v>
      </c>
      <c r="D61" t="s">
        <v>28</v>
      </c>
      <c r="E61" t="s">
        <v>57</v>
      </c>
      <c r="F61">
        <v>0</v>
      </c>
      <c r="G61">
        <v>0</v>
      </c>
      <c r="H61">
        <v>1</v>
      </c>
      <c r="I61">
        <v>0</v>
      </c>
      <c r="J61">
        <v>1</v>
      </c>
      <c r="K61">
        <v>0.6</v>
      </c>
      <c r="R61">
        <v>61</v>
      </c>
      <c r="S61">
        <f t="shared" si="0"/>
        <v>23</v>
      </c>
      <c r="T61">
        <f t="shared" si="1"/>
        <v>8</v>
      </c>
      <c r="V61">
        <v>61</v>
      </c>
      <c r="W61" s="1">
        <f>Tabelle3[[#This Row],[Seite]]-1</f>
        <v>60</v>
      </c>
      <c r="X61">
        <v>23</v>
      </c>
      <c r="Y61">
        <v>8</v>
      </c>
      <c r="Z61" s="2" cm="1">
        <f t="array" ref="Z61">SUMPRODUCT((Tabelle2[Seite]=V61)*Tabelle2[Score_Gewichtet])</f>
        <v>27.45</v>
      </c>
      <c r="AA61" s="2"/>
      <c r="AD61" t="s">
        <v>150</v>
      </c>
    </row>
    <row r="62" spans="1:31" x14ac:dyDescent="0.2">
      <c r="A62" t="s">
        <v>11</v>
      </c>
      <c r="B62">
        <v>8</v>
      </c>
      <c r="C62" t="s">
        <v>15</v>
      </c>
      <c r="D62" t="s">
        <v>13</v>
      </c>
      <c r="E62" t="s">
        <v>39</v>
      </c>
      <c r="F62">
        <v>0</v>
      </c>
      <c r="G62">
        <v>0</v>
      </c>
      <c r="H62">
        <v>1</v>
      </c>
      <c r="I62">
        <v>0</v>
      </c>
      <c r="J62">
        <v>1</v>
      </c>
      <c r="K62">
        <v>0.5</v>
      </c>
      <c r="R62">
        <v>62</v>
      </c>
      <c r="S62">
        <f t="shared" si="0"/>
        <v>8</v>
      </c>
      <c r="T62">
        <f t="shared" si="1"/>
        <v>75</v>
      </c>
      <c r="V62">
        <v>62</v>
      </c>
      <c r="W62" s="1">
        <f>Tabelle3[[#This Row],[Seite]]-1</f>
        <v>61</v>
      </c>
      <c r="X62">
        <v>8</v>
      </c>
      <c r="Y62">
        <v>75</v>
      </c>
      <c r="Z62" s="2" cm="1">
        <f t="array" ref="Z62">SUMPRODUCT((Tabelle2[Seite]=V62)*Tabelle2[Score_Gewichtet])</f>
        <v>16.599999999999998</v>
      </c>
      <c r="AA62" s="2"/>
      <c r="AD62" t="s">
        <v>150</v>
      </c>
    </row>
    <row r="63" spans="1:31" x14ac:dyDescent="0.2">
      <c r="A63" t="s">
        <v>11</v>
      </c>
      <c r="B63">
        <v>8</v>
      </c>
      <c r="C63" t="s">
        <v>22</v>
      </c>
      <c r="D63" t="s">
        <v>13</v>
      </c>
      <c r="E63" t="s">
        <v>55</v>
      </c>
      <c r="F63">
        <v>2</v>
      </c>
      <c r="G63">
        <v>0</v>
      </c>
      <c r="H63">
        <v>0</v>
      </c>
      <c r="I63">
        <v>0</v>
      </c>
      <c r="J63">
        <v>2</v>
      </c>
      <c r="K63">
        <v>2</v>
      </c>
      <c r="R63">
        <v>63</v>
      </c>
      <c r="S63">
        <f t="shared" si="0"/>
        <v>4</v>
      </c>
      <c r="T63">
        <f t="shared" si="1"/>
        <v>104</v>
      </c>
      <c r="V63">
        <v>63</v>
      </c>
      <c r="W63" s="1">
        <f>Tabelle3[[#This Row],[Seite]]-1</f>
        <v>62</v>
      </c>
      <c r="X63">
        <v>4</v>
      </c>
      <c r="Y63">
        <v>104</v>
      </c>
      <c r="Z63" s="2" cm="1">
        <f t="array" ref="Z63">SUMPRODUCT((Tabelle2[Seite]=V63)*Tabelle2[Score_Gewichtet])</f>
        <v>3.6</v>
      </c>
      <c r="AA63" s="2"/>
      <c r="AD63" t="s">
        <v>150</v>
      </c>
    </row>
    <row r="64" spans="1:31" x14ac:dyDescent="0.2">
      <c r="A64" t="s">
        <v>11</v>
      </c>
      <c r="B64">
        <v>8</v>
      </c>
      <c r="C64" t="s">
        <v>17</v>
      </c>
      <c r="D64" t="s">
        <v>13</v>
      </c>
      <c r="E64" t="s">
        <v>40</v>
      </c>
      <c r="F64">
        <v>0</v>
      </c>
      <c r="G64">
        <v>0</v>
      </c>
      <c r="H64">
        <v>0</v>
      </c>
      <c r="I64">
        <v>1</v>
      </c>
      <c r="J64">
        <v>1</v>
      </c>
      <c r="K64">
        <v>0.1</v>
      </c>
      <c r="R64">
        <v>64</v>
      </c>
      <c r="S64">
        <f t="shared" si="0"/>
        <v>3</v>
      </c>
      <c r="T64">
        <f t="shared" si="1"/>
        <v>108</v>
      </c>
      <c r="V64">
        <v>64</v>
      </c>
      <c r="W64" s="1">
        <f>Tabelle3[[#This Row],[Seite]]-1</f>
        <v>63</v>
      </c>
      <c r="X64">
        <v>3</v>
      </c>
      <c r="Y64">
        <v>108</v>
      </c>
      <c r="Z64" s="2" cm="1">
        <f t="array" ref="Z64">SUMPRODUCT((Tabelle2[Seite]=V64)*Tabelle2[Score_Gewichtet])</f>
        <v>0.7</v>
      </c>
      <c r="AA64" s="2"/>
      <c r="AD64" t="s">
        <v>150</v>
      </c>
    </row>
    <row r="65" spans="1:31" x14ac:dyDescent="0.2">
      <c r="A65" t="s">
        <v>11</v>
      </c>
      <c r="B65">
        <v>8</v>
      </c>
      <c r="C65" t="s">
        <v>42</v>
      </c>
      <c r="D65" t="s">
        <v>28</v>
      </c>
      <c r="E65" t="s">
        <v>43</v>
      </c>
      <c r="F65">
        <v>0</v>
      </c>
      <c r="G65">
        <v>2</v>
      </c>
      <c r="H65">
        <v>0</v>
      </c>
      <c r="I65">
        <v>0</v>
      </c>
      <c r="J65">
        <v>2</v>
      </c>
      <c r="K65">
        <v>1.5</v>
      </c>
      <c r="R65">
        <v>65</v>
      </c>
      <c r="S65">
        <f t="shared" si="0"/>
        <v>11</v>
      </c>
      <c r="T65">
        <f t="shared" si="1"/>
        <v>47</v>
      </c>
      <c r="V65">
        <v>65</v>
      </c>
      <c r="W65" s="1">
        <f>Tabelle3[[#This Row],[Seite]]-1</f>
        <v>64</v>
      </c>
      <c r="X65">
        <v>11</v>
      </c>
      <c r="Y65">
        <v>47</v>
      </c>
      <c r="Z65" s="2" cm="1">
        <f t="array" ref="Z65">SUMPRODUCT((Tabelle2[Seite]=V65)*Tabelle2[Score_Gewichtet])</f>
        <v>16.3</v>
      </c>
      <c r="AA65" s="2"/>
      <c r="AD65" t="s">
        <v>150</v>
      </c>
    </row>
    <row r="66" spans="1:31" x14ac:dyDescent="0.2">
      <c r="A66" t="s">
        <v>11</v>
      </c>
      <c r="B66">
        <v>9</v>
      </c>
      <c r="C66" t="s">
        <v>20</v>
      </c>
      <c r="D66" t="s">
        <v>18</v>
      </c>
      <c r="E66" t="s">
        <v>35</v>
      </c>
      <c r="F66">
        <v>0</v>
      </c>
      <c r="G66">
        <v>0</v>
      </c>
      <c r="H66">
        <v>2</v>
      </c>
      <c r="I66">
        <v>0</v>
      </c>
      <c r="J66">
        <v>2</v>
      </c>
      <c r="K66">
        <v>1</v>
      </c>
      <c r="R66">
        <v>66</v>
      </c>
      <c r="S66">
        <f t="shared" si="0"/>
        <v>7</v>
      </c>
      <c r="T66">
        <f t="shared" si="1"/>
        <v>87</v>
      </c>
      <c r="V66">
        <v>66</v>
      </c>
      <c r="W66" s="1">
        <f>Tabelle3[[#This Row],[Seite]]-1</f>
        <v>65</v>
      </c>
      <c r="X66">
        <v>7</v>
      </c>
      <c r="Y66">
        <v>87</v>
      </c>
      <c r="Z66" s="2" cm="1">
        <f t="array" ref="Z66">SUMPRODUCT((Tabelle2[Seite]=V66)*Tabelle2[Score_Gewichtet])</f>
        <v>12.7</v>
      </c>
      <c r="AA66" s="2"/>
      <c r="AD66" t="s">
        <v>150</v>
      </c>
    </row>
    <row r="67" spans="1:31" x14ac:dyDescent="0.2">
      <c r="A67" t="s">
        <v>11</v>
      </c>
      <c r="B67">
        <v>9</v>
      </c>
      <c r="C67" t="s">
        <v>20</v>
      </c>
      <c r="D67" t="s">
        <v>13</v>
      </c>
      <c r="E67" t="s">
        <v>36</v>
      </c>
      <c r="F67">
        <v>0</v>
      </c>
      <c r="G67">
        <v>0</v>
      </c>
      <c r="H67">
        <v>0</v>
      </c>
      <c r="I67">
        <v>3</v>
      </c>
      <c r="J67">
        <v>3</v>
      </c>
      <c r="K67">
        <v>0.3</v>
      </c>
      <c r="R67">
        <v>67</v>
      </c>
      <c r="S67">
        <f t="shared" ref="S67:S116" si="2">COUNTIF(B$2:B$1338, R67)</f>
        <v>8</v>
      </c>
      <c r="T67">
        <f t="shared" ref="T67:T116" si="3">RANK(S67, $S$2:$S$116)</f>
        <v>75</v>
      </c>
      <c r="V67">
        <v>67</v>
      </c>
      <c r="W67" s="1">
        <f>Tabelle3[[#This Row],[Seite]]-1</f>
        <v>66</v>
      </c>
      <c r="X67">
        <v>8</v>
      </c>
      <c r="Y67">
        <v>75</v>
      </c>
      <c r="Z67" s="2" cm="1">
        <f t="array" ref="Z67">SUMPRODUCT((Tabelle2[Seite]=V67)*Tabelle2[Score_Gewichtet])</f>
        <v>8.0999999999999979</v>
      </c>
      <c r="AA67" s="2" t="s">
        <v>159</v>
      </c>
      <c r="AB67" t="s">
        <v>151</v>
      </c>
      <c r="AE67">
        <v>1</v>
      </c>
    </row>
    <row r="68" spans="1:31" x14ac:dyDescent="0.2">
      <c r="A68" t="s">
        <v>11</v>
      </c>
      <c r="B68">
        <v>9</v>
      </c>
      <c r="C68" t="s">
        <v>20</v>
      </c>
      <c r="D68" t="s">
        <v>13</v>
      </c>
      <c r="E68" t="s">
        <v>37</v>
      </c>
      <c r="F68">
        <v>0</v>
      </c>
      <c r="G68">
        <v>2</v>
      </c>
      <c r="H68">
        <v>0</v>
      </c>
      <c r="I68">
        <v>0</v>
      </c>
      <c r="J68">
        <v>2</v>
      </c>
      <c r="K68">
        <v>1.5</v>
      </c>
      <c r="R68">
        <v>68</v>
      </c>
      <c r="S68">
        <f t="shared" si="2"/>
        <v>21</v>
      </c>
      <c r="T68">
        <f t="shared" si="3"/>
        <v>10</v>
      </c>
      <c r="V68">
        <v>68</v>
      </c>
      <c r="W68" s="1">
        <f>Tabelle3[[#This Row],[Seite]]-1</f>
        <v>67</v>
      </c>
      <c r="X68">
        <v>21</v>
      </c>
      <c r="Y68">
        <v>10</v>
      </c>
      <c r="Z68" s="2" cm="1">
        <f t="array" ref="Z68">SUMPRODUCT((Tabelle2[Seite]=V68)*Tabelle2[Score_Gewichtet])</f>
        <v>20.05</v>
      </c>
      <c r="AA68" s="2" t="s">
        <v>159</v>
      </c>
      <c r="AB68" t="s">
        <v>151</v>
      </c>
      <c r="AE68">
        <v>1</v>
      </c>
    </row>
    <row r="69" spans="1:31" x14ac:dyDescent="0.2">
      <c r="A69" t="s">
        <v>11</v>
      </c>
      <c r="B69">
        <v>9</v>
      </c>
      <c r="C69" t="s">
        <v>17</v>
      </c>
      <c r="D69" t="s">
        <v>13</v>
      </c>
      <c r="E69" t="s">
        <v>59</v>
      </c>
      <c r="F69">
        <v>0</v>
      </c>
      <c r="G69">
        <v>0</v>
      </c>
      <c r="H69">
        <v>0</v>
      </c>
      <c r="I69">
        <v>1</v>
      </c>
      <c r="J69">
        <v>1</v>
      </c>
      <c r="K69">
        <v>0.1</v>
      </c>
      <c r="R69">
        <v>69</v>
      </c>
      <c r="S69">
        <f t="shared" si="2"/>
        <v>21</v>
      </c>
      <c r="T69">
        <f t="shared" si="3"/>
        <v>10</v>
      </c>
      <c r="V69">
        <v>69</v>
      </c>
      <c r="W69" s="1">
        <f>Tabelle3[[#This Row],[Seite]]-1</f>
        <v>68</v>
      </c>
      <c r="X69">
        <v>21</v>
      </c>
      <c r="Y69">
        <v>10</v>
      </c>
      <c r="Z69" s="2" cm="1">
        <f t="array" ref="Z69">SUMPRODUCT((Tabelle2[Seite]=V69)*Tabelle2[Score_Gewichtet])</f>
        <v>11.95</v>
      </c>
      <c r="AA69" s="2" t="s">
        <v>159</v>
      </c>
      <c r="AB69" t="s">
        <v>151</v>
      </c>
      <c r="AE69">
        <v>1</v>
      </c>
    </row>
    <row r="70" spans="1:31" x14ac:dyDescent="0.2">
      <c r="A70" t="s">
        <v>11</v>
      </c>
      <c r="B70">
        <v>9</v>
      </c>
      <c r="C70" t="s">
        <v>42</v>
      </c>
      <c r="D70" t="s">
        <v>28</v>
      </c>
      <c r="E70" t="s">
        <v>43</v>
      </c>
      <c r="F70">
        <v>0</v>
      </c>
      <c r="G70">
        <v>2</v>
      </c>
      <c r="H70">
        <v>0</v>
      </c>
      <c r="I70">
        <v>0</v>
      </c>
      <c r="J70">
        <v>2</v>
      </c>
      <c r="K70">
        <v>1.5</v>
      </c>
      <c r="R70">
        <v>70</v>
      </c>
      <c r="S70">
        <f t="shared" si="2"/>
        <v>10</v>
      </c>
      <c r="T70">
        <f t="shared" si="3"/>
        <v>55</v>
      </c>
      <c r="V70">
        <v>70</v>
      </c>
      <c r="W70" s="1">
        <f>Tabelle3[[#This Row],[Seite]]-1</f>
        <v>69</v>
      </c>
      <c r="X70">
        <v>10</v>
      </c>
      <c r="Y70">
        <v>55</v>
      </c>
      <c r="Z70" s="2" cm="1">
        <f t="array" ref="Z70">SUMPRODUCT((Tabelle2[Seite]=V70)*Tabelle2[Score_Gewichtet])</f>
        <v>12.6</v>
      </c>
      <c r="AA70" s="2" t="s">
        <v>159</v>
      </c>
      <c r="AB70" t="s">
        <v>151</v>
      </c>
      <c r="AE70">
        <v>1</v>
      </c>
    </row>
    <row r="71" spans="1:31" x14ac:dyDescent="0.2">
      <c r="A71" t="s">
        <v>11</v>
      </c>
      <c r="B71">
        <v>9</v>
      </c>
      <c r="C71" t="s">
        <v>42</v>
      </c>
      <c r="D71" t="s">
        <v>13</v>
      </c>
      <c r="E71" t="s">
        <v>35</v>
      </c>
      <c r="F71">
        <v>0</v>
      </c>
      <c r="G71">
        <v>0</v>
      </c>
      <c r="H71">
        <v>2</v>
      </c>
      <c r="I71">
        <v>0</v>
      </c>
      <c r="J71">
        <v>2</v>
      </c>
      <c r="K71">
        <v>1</v>
      </c>
      <c r="R71">
        <v>71</v>
      </c>
      <c r="S71">
        <f t="shared" si="2"/>
        <v>9</v>
      </c>
      <c r="T71">
        <f t="shared" si="3"/>
        <v>61</v>
      </c>
      <c r="V71">
        <v>71</v>
      </c>
      <c r="W71" s="1">
        <f>Tabelle3[[#This Row],[Seite]]-1</f>
        <v>70</v>
      </c>
      <c r="X71">
        <v>9</v>
      </c>
      <c r="Y71">
        <v>61</v>
      </c>
      <c r="Z71" s="2" cm="1">
        <f t="array" ref="Z71">SUMPRODUCT((Tabelle2[Seite]=V71)*Tabelle2[Score_Gewichtet])</f>
        <v>6.6000000000000005</v>
      </c>
      <c r="AA71" s="2"/>
      <c r="AD71" t="s">
        <v>150</v>
      </c>
    </row>
    <row r="72" spans="1:31" x14ac:dyDescent="0.2">
      <c r="A72" t="s">
        <v>11</v>
      </c>
      <c r="B72">
        <v>9</v>
      </c>
      <c r="C72" t="s">
        <v>42</v>
      </c>
      <c r="D72" t="s">
        <v>18</v>
      </c>
      <c r="E72" t="s">
        <v>44</v>
      </c>
      <c r="F72">
        <v>0</v>
      </c>
      <c r="G72">
        <v>0</v>
      </c>
      <c r="H72">
        <v>2</v>
      </c>
      <c r="I72">
        <v>0</v>
      </c>
      <c r="J72">
        <v>2</v>
      </c>
      <c r="K72">
        <v>1</v>
      </c>
      <c r="R72">
        <v>72</v>
      </c>
      <c r="S72">
        <f t="shared" si="2"/>
        <v>4</v>
      </c>
      <c r="T72">
        <f t="shared" si="3"/>
        <v>104</v>
      </c>
      <c r="V72">
        <v>72</v>
      </c>
      <c r="W72" s="1">
        <f>Tabelle3[[#This Row],[Seite]]-1</f>
        <v>71</v>
      </c>
      <c r="X72">
        <v>4</v>
      </c>
      <c r="Y72">
        <v>104</v>
      </c>
      <c r="Z72" s="2" cm="1">
        <f t="array" ref="Z72">SUMPRODUCT((Tabelle2[Seite]=V72)*Tabelle2[Score_Gewichtet])</f>
        <v>5.8000000000000007</v>
      </c>
      <c r="AA72" s="2"/>
      <c r="AD72" t="s">
        <v>150</v>
      </c>
    </row>
    <row r="73" spans="1:31" x14ac:dyDescent="0.2">
      <c r="A73" t="s">
        <v>11</v>
      </c>
      <c r="B73">
        <v>9</v>
      </c>
      <c r="C73" t="s">
        <v>45</v>
      </c>
      <c r="D73" t="s">
        <v>18</v>
      </c>
      <c r="E73" t="s">
        <v>60</v>
      </c>
      <c r="F73">
        <v>0</v>
      </c>
      <c r="G73">
        <v>0</v>
      </c>
      <c r="H73">
        <v>3</v>
      </c>
      <c r="I73">
        <v>0</v>
      </c>
      <c r="J73">
        <v>3</v>
      </c>
      <c r="K73">
        <v>1.5</v>
      </c>
      <c r="R73">
        <v>73</v>
      </c>
      <c r="S73">
        <f t="shared" si="2"/>
        <v>20</v>
      </c>
      <c r="T73">
        <f t="shared" si="3"/>
        <v>13</v>
      </c>
      <c r="V73">
        <v>73</v>
      </c>
      <c r="W73" s="1">
        <f>Tabelle3[[#This Row],[Seite]]-1</f>
        <v>72</v>
      </c>
      <c r="X73">
        <v>20</v>
      </c>
      <c r="Y73">
        <v>13</v>
      </c>
      <c r="Z73" s="2" cm="1">
        <f t="array" ref="Z73">SUMPRODUCT((Tabelle2[Seite]=V73)*Tabelle2[Score_Gewichtet])</f>
        <v>18.599999999999998</v>
      </c>
      <c r="AA73" s="2"/>
      <c r="AD73" t="s">
        <v>150</v>
      </c>
    </row>
    <row r="74" spans="1:31" x14ac:dyDescent="0.2">
      <c r="A74" t="s">
        <v>11</v>
      </c>
      <c r="B74">
        <v>10</v>
      </c>
      <c r="C74" t="s">
        <v>20</v>
      </c>
      <c r="D74" t="s">
        <v>28</v>
      </c>
      <c r="E74" t="s">
        <v>29</v>
      </c>
      <c r="F74">
        <v>0</v>
      </c>
      <c r="G74">
        <v>0</v>
      </c>
      <c r="H74">
        <v>1</v>
      </c>
      <c r="I74">
        <v>0</v>
      </c>
      <c r="J74">
        <v>1</v>
      </c>
      <c r="K74">
        <v>0.6</v>
      </c>
      <c r="R74">
        <v>74</v>
      </c>
      <c r="S74">
        <f t="shared" si="2"/>
        <v>11</v>
      </c>
      <c r="T74">
        <f t="shared" si="3"/>
        <v>47</v>
      </c>
      <c r="V74">
        <v>74</v>
      </c>
      <c r="W74" s="1">
        <f>Tabelle3[[#This Row],[Seite]]-1</f>
        <v>73</v>
      </c>
      <c r="X74">
        <v>11</v>
      </c>
      <c r="Y74">
        <v>47</v>
      </c>
      <c r="Z74" s="2" cm="1">
        <f t="array" ref="Z74">SUMPRODUCT((Tabelle2[Seite]=V74)*Tabelle2[Score_Gewichtet])</f>
        <v>10.799999999999999</v>
      </c>
      <c r="AA74" s="2"/>
      <c r="AD74" t="s">
        <v>150</v>
      </c>
    </row>
    <row r="75" spans="1:31" x14ac:dyDescent="0.2">
      <c r="A75" t="s">
        <v>11</v>
      </c>
      <c r="B75">
        <v>10</v>
      </c>
      <c r="C75" t="s">
        <v>20</v>
      </c>
      <c r="D75" t="s">
        <v>18</v>
      </c>
      <c r="E75" t="s">
        <v>57</v>
      </c>
      <c r="F75">
        <v>0</v>
      </c>
      <c r="G75">
        <v>1</v>
      </c>
      <c r="H75">
        <v>1</v>
      </c>
      <c r="I75">
        <v>0</v>
      </c>
      <c r="J75">
        <v>2</v>
      </c>
      <c r="K75">
        <v>1.35</v>
      </c>
      <c r="R75">
        <v>75</v>
      </c>
      <c r="S75">
        <f t="shared" si="2"/>
        <v>14</v>
      </c>
      <c r="T75">
        <f t="shared" si="3"/>
        <v>31</v>
      </c>
      <c r="V75">
        <v>75</v>
      </c>
      <c r="W75" s="1">
        <f>Tabelle3[[#This Row],[Seite]]-1</f>
        <v>74</v>
      </c>
      <c r="X75">
        <v>14</v>
      </c>
      <c r="Y75">
        <v>31</v>
      </c>
      <c r="Z75" s="2" cm="1">
        <f t="array" ref="Z75">SUMPRODUCT((Tabelle2[Seite]=V75)*Tabelle2[Score_Gewichtet])</f>
        <v>9.6999999999999993</v>
      </c>
      <c r="AA75" s="2"/>
      <c r="AD75" t="s">
        <v>150</v>
      </c>
    </row>
    <row r="76" spans="1:31" x14ac:dyDescent="0.2">
      <c r="A76" t="s">
        <v>11</v>
      </c>
      <c r="B76">
        <v>10</v>
      </c>
      <c r="C76" t="s">
        <v>20</v>
      </c>
      <c r="D76" t="s">
        <v>13</v>
      </c>
      <c r="E76" t="s">
        <v>33</v>
      </c>
      <c r="F76">
        <v>0</v>
      </c>
      <c r="G76">
        <v>1</v>
      </c>
      <c r="H76">
        <v>0</v>
      </c>
      <c r="I76">
        <v>0</v>
      </c>
      <c r="J76">
        <v>1</v>
      </c>
      <c r="K76">
        <v>0.75</v>
      </c>
      <c r="R76">
        <v>76</v>
      </c>
      <c r="S76">
        <f t="shared" si="2"/>
        <v>16</v>
      </c>
      <c r="T76">
        <f t="shared" si="3"/>
        <v>21</v>
      </c>
      <c r="V76">
        <v>76</v>
      </c>
      <c r="W76" s="1">
        <f>Tabelle3[[#This Row],[Seite]]-1</f>
        <v>75</v>
      </c>
      <c r="X76">
        <v>16</v>
      </c>
      <c r="Y76">
        <v>21</v>
      </c>
      <c r="Z76" s="2" cm="1">
        <f t="array" ref="Z76">SUMPRODUCT((Tabelle2[Seite]=V76)*Tabelle2[Score_Gewichtet])</f>
        <v>8.3999999999999986</v>
      </c>
      <c r="AA76" s="2"/>
      <c r="AD76" t="s">
        <v>150</v>
      </c>
    </row>
    <row r="77" spans="1:31" x14ac:dyDescent="0.2">
      <c r="A77" t="s">
        <v>11</v>
      </c>
      <c r="B77">
        <v>10</v>
      </c>
      <c r="C77" t="s">
        <v>20</v>
      </c>
      <c r="D77" t="s">
        <v>28</v>
      </c>
      <c r="E77" t="s">
        <v>61</v>
      </c>
      <c r="F77">
        <v>1</v>
      </c>
      <c r="G77">
        <v>0</v>
      </c>
      <c r="H77">
        <v>0</v>
      </c>
      <c r="I77">
        <v>0</v>
      </c>
      <c r="J77">
        <v>1</v>
      </c>
      <c r="K77">
        <v>1</v>
      </c>
      <c r="R77">
        <v>77</v>
      </c>
      <c r="S77">
        <f t="shared" si="2"/>
        <v>10</v>
      </c>
      <c r="T77">
        <f t="shared" si="3"/>
        <v>55</v>
      </c>
      <c r="V77">
        <v>77</v>
      </c>
      <c r="W77" s="1">
        <f>Tabelle3[[#This Row],[Seite]]-1</f>
        <v>76</v>
      </c>
      <c r="X77">
        <v>10</v>
      </c>
      <c r="Y77">
        <v>55</v>
      </c>
      <c r="Z77" s="2" cm="1">
        <f t="array" ref="Z77">SUMPRODUCT((Tabelle2[Seite]=V77)*Tabelle2[Score_Gewichtet])</f>
        <v>14.7</v>
      </c>
      <c r="AA77" s="2"/>
      <c r="AD77" t="s">
        <v>150</v>
      </c>
    </row>
    <row r="78" spans="1:31" x14ac:dyDescent="0.2">
      <c r="A78" t="s">
        <v>11</v>
      </c>
      <c r="B78">
        <v>10</v>
      </c>
      <c r="C78" t="s">
        <v>20</v>
      </c>
      <c r="D78" t="s">
        <v>13</v>
      </c>
      <c r="E78" t="s">
        <v>37</v>
      </c>
      <c r="F78">
        <v>0</v>
      </c>
      <c r="G78">
        <v>2</v>
      </c>
      <c r="H78">
        <v>0</v>
      </c>
      <c r="I78">
        <v>0</v>
      </c>
      <c r="J78">
        <v>2</v>
      </c>
      <c r="K78">
        <v>1.5</v>
      </c>
      <c r="R78">
        <v>78</v>
      </c>
      <c r="S78">
        <f t="shared" si="2"/>
        <v>4</v>
      </c>
      <c r="T78">
        <f t="shared" si="3"/>
        <v>104</v>
      </c>
      <c r="V78">
        <v>78</v>
      </c>
      <c r="W78" s="1">
        <f>Tabelle3[[#This Row],[Seite]]-1</f>
        <v>77</v>
      </c>
      <c r="X78">
        <v>4</v>
      </c>
      <c r="Y78">
        <v>104</v>
      </c>
      <c r="Z78" s="2" cm="1">
        <f t="array" ref="Z78">SUMPRODUCT((Tabelle2[Seite]=V78)*Tabelle2[Score_Gewichtet])</f>
        <v>6.25</v>
      </c>
      <c r="AA78" s="2"/>
      <c r="AD78" t="s">
        <v>150</v>
      </c>
    </row>
    <row r="79" spans="1:31" x14ac:dyDescent="0.2">
      <c r="A79" t="s">
        <v>11</v>
      </c>
      <c r="B79">
        <v>10</v>
      </c>
      <c r="C79" t="s">
        <v>15</v>
      </c>
      <c r="D79" t="s">
        <v>28</v>
      </c>
      <c r="E79" t="s">
        <v>57</v>
      </c>
      <c r="F79">
        <v>0</v>
      </c>
      <c r="G79">
        <v>1</v>
      </c>
      <c r="H79">
        <v>1</v>
      </c>
      <c r="I79">
        <v>0</v>
      </c>
      <c r="J79">
        <v>2</v>
      </c>
      <c r="K79">
        <v>1.35</v>
      </c>
      <c r="R79">
        <v>79</v>
      </c>
      <c r="S79">
        <f t="shared" si="2"/>
        <v>8</v>
      </c>
      <c r="T79">
        <f t="shared" si="3"/>
        <v>75</v>
      </c>
      <c r="V79">
        <v>79</v>
      </c>
      <c r="W79" s="1">
        <f>Tabelle3[[#This Row],[Seite]]-1</f>
        <v>78</v>
      </c>
      <c r="X79">
        <v>8</v>
      </c>
      <c r="Y79">
        <v>75</v>
      </c>
      <c r="Z79" s="2" cm="1">
        <f t="array" ref="Z79">SUMPRODUCT((Tabelle2[Seite]=V79)*Tabelle2[Score_Gewichtet])</f>
        <v>5.45</v>
      </c>
      <c r="AA79" s="2"/>
      <c r="AD79" t="s">
        <v>150</v>
      </c>
    </row>
    <row r="80" spans="1:31" x14ac:dyDescent="0.2">
      <c r="A80" t="s">
        <v>11</v>
      </c>
      <c r="B80">
        <v>10</v>
      </c>
      <c r="C80" t="s">
        <v>22</v>
      </c>
      <c r="D80" t="s">
        <v>13</v>
      </c>
      <c r="E80" t="s">
        <v>54</v>
      </c>
      <c r="F80">
        <v>0</v>
      </c>
      <c r="G80">
        <v>0</v>
      </c>
      <c r="H80">
        <v>0</v>
      </c>
      <c r="I80">
        <v>4</v>
      </c>
      <c r="J80">
        <v>4</v>
      </c>
      <c r="K80">
        <v>0.4</v>
      </c>
      <c r="R80">
        <v>80</v>
      </c>
      <c r="S80">
        <f t="shared" si="2"/>
        <v>11</v>
      </c>
      <c r="T80">
        <f t="shared" si="3"/>
        <v>47</v>
      </c>
      <c r="V80">
        <v>80</v>
      </c>
      <c r="W80" s="1">
        <f>Tabelle3[[#This Row],[Seite]]-1</f>
        <v>79</v>
      </c>
      <c r="X80">
        <v>11</v>
      </c>
      <c r="Y80">
        <v>47</v>
      </c>
      <c r="Z80" s="2" cm="1">
        <f t="array" ref="Z80">SUMPRODUCT((Tabelle2[Seite]=V80)*Tabelle2[Score_Gewichtet])</f>
        <v>11.1</v>
      </c>
      <c r="AA80" s="2"/>
      <c r="AD80" t="s">
        <v>150</v>
      </c>
    </row>
    <row r="81" spans="1:31" x14ac:dyDescent="0.2">
      <c r="A81" t="s">
        <v>11</v>
      </c>
      <c r="B81">
        <v>10</v>
      </c>
      <c r="C81" t="s">
        <v>22</v>
      </c>
      <c r="D81" t="s">
        <v>28</v>
      </c>
      <c r="E81" t="s">
        <v>62</v>
      </c>
      <c r="F81">
        <v>0</v>
      </c>
      <c r="G81">
        <v>1</v>
      </c>
      <c r="H81">
        <v>0</v>
      </c>
      <c r="I81">
        <v>0</v>
      </c>
      <c r="J81">
        <v>1</v>
      </c>
      <c r="K81">
        <v>0.75</v>
      </c>
      <c r="R81">
        <v>81</v>
      </c>
      <c r="S81">
        <f t="shared" si="2"/>
        <v>16</v>
      </c>
      <c r="T81">
        <f t="shared" si="3"/>
        <v>21</v>
      </c>
      <c r="V81">
        <v>81</v>
      </c>
      <c r="W81" s="1">
        <f>Tabelle3[[#This Row],[Seite]]-1</f>
        <v>80</v>
      </c>
      <c r="X81">
        <v>16</v>
      </c>
      <c r="Y81">
        <v>21</v>
      </c>
      <c r="Z81" s="2" cm="1">
        <f t="array" ref="Z81">SUMPRODUCT((Tabelle2[Seite]=V81)*Tabelle2[Score_Gewichtet])</f>
        <v>31.1</v>
      </c>
      <c r="AA81" s="2" t="s">
        <v>26</v>
      </c>
      <c r="AB81" t="s">
        <v>150</v>
      </c>
      <c r="AE81">
        <v>1</v>
      </c>
    </row>
    <row r="82" spans="1:31" x14ac:dyDescent="0.2">
      <c r="A82" t="s">
        <v>11</v>
      </c>
      <c r="B82">
        <v>10</v>
      </c>
      <c r="C82" t="s">
        <v>22</v>
      </c>
      <c r="D82" t="s">
        <v>18</v>
      </c>
      <c r="E82" t="s">
        <v>63</v>
      </c>
      <c r="F82">
        <v>0</v>
      </c>
      <c r="G82">
        <v>0</v>
      </c>
      <c r="H82">
        <v>1</v>
      </c>
      <c r="I82">
        <v>0</v>
      </c>
      <c r="J82">
        <v>1</v>
      </c>
      <c r="K82">
        <v>0.5</v>
      </c>
      <c r="R82">
        <v>82</v>
      </c>
      <c r="S82">
        <f t="shared" si="2"/>
        <v>27</v>
      </c>
      <c r="T82">
        <f t="shared" si="3"/>
        <v>4</v>
      </c>
      <c r="V82">
        <v>82</v>
      </c>
      <c r="W82" s="1">
        <f>Tabelle3[[#This Row],[Seite]]-1</f>
        <v>81</v>
      </c>
      <c r="X82">
        <v>27</v>
      </c>
      <c r="Y82">
        <v>4</v>
      </c>
      <c r="Z82" s="2" cm="1">
        <f t="array" ref="Z82">SUMPRODUCT((Tabelle2[Seite]=V82)*Tabelle2[Score_Gewichtet])</f>
        <v>31.200000000000003</v>
      </c>
      <c r="AA82" s="2" t="s">
        <v>26</v>
      </c>
      <c r="AB82" t="s">
        <v>150</v>
      </c>
      <c r="AE82">
        <v>1</v>
      </c>
    </row>
    <row r="83" spans="1:31" x14ac:dyDescent="0.2">
      <c r="A83" t="s">
        <v>11</v>
      </c>
      <c r="B83">
        <v>10</v>
      </c>
      <c r="C83" t="s">
        <v>17</v>
      </c>
      <c r="D83" t="s">
        <v>13</v>
      </c>
      <c r="E83" t="s">
        <v>41</v>
      </c>
      <c r="F83">
        <v>0</v>
      </c>
      <c r="G83">
        <v>0</v>
      </c>
      <c r="H83">
        <v>0</v>
      </c>
      <c r="I83">
        <v>2</v>
      </c>
      <c r="J83">
        <v>2</v>
      </c>
      <c r="K83">
        <v>0.2</v>
      </c>
      <c r="R83">
        <v>83</v>
      </c>
      <c r="S83">
        <f t="shared" si="2"/>
        <v>25</v>
      </c>
      <c r="T83">
        <f t="shared" si="3"/>
        <v>7</v>
      </c>
      <c r="V83">
        <v>83</v>
      </c>
      <c r="W83" s="1">
        <f>Tabelle3[[#This Row],[Seite]]-1</f>
        <v>82</v>
      </c>
      <c r="X83">
        <v>25</v>
      </c>
      <c r="Y83">
        <v>7</v>
      </c>
      <c r="Z83" s="2" cm="1">
        <f t="array" ref="Z83">SUMPRODUCT((Tabelle2[Seite]=V83)*Tabelle2[Score_Gewichtet])</f>
        <v>24.150000000000002</v>
      </c>
      <c r="AA83" s="2" t="s">
        <v>160</v>
      </c>
      <c r="AB83" t="s">
        <v>151</v>
      </c>
      <c r="AE83">
        <v>1</v>
      </c>
    </row>
    <row r="84" spans="1:31" x14ac:dyDescent="0.2">
      <c r="A84" t="s">
        <v>11</v>
      </c>
      <c r="B84">
        <v>10</v>
      </c>
      <c r="C84" t="s">
        <v>42</v>
      </c>
      <c r="D84" t="s">
        <v>28</v>
      </c>
      <c r="E84" t="s">
        <v>43</v>
      </c>
      <c r="F84">
        <v>0</v>
      </c>
      <c r="G84">
        <v>2</v>
      </c>
      <c r="H84">
        <v>0</v>
      </c>
      <c r="I84">
        <v>0</v>
      </c>
      <c r="J84">
        <v>2</v>
      </c>
      <c r="K84">
        <v>1.5</v>
      </c>
      <c r="R84">
        <v>84</v>
      </c>
      <c r="S84">
        <f t="shared" si="2"/>
        <v>31</v>
      </c>
      <c r="T84">
        <f t="shared" si="3"/>
        <v>3</v>
      </c>
      <c r="V84">
        <v>84</v>
      </c>
      <c r="W84" s="1">
        <f>Tabelle3[[#This Row],[Seite]]-1</f>
        <v>83</v>
      </c>
      <c r="X84">
        <v>31</v>
      </c>
      <c r="Y84">
        <v>3</v>
      </c>
      <c r="Z84" s="2" cm="1">
        <f t="array" ref="Z84">SUMPRODUCT((Tabelle2[Seite]=V84)*Tabelle2[Score_Gewichtet])</f>
        <v>27.749999999999996</v>
      </c>
      <c r="AA84" s="2" t="s">
        <v>160</v>
      </c>
      <c r="AB84" t="s">
        <v>151</v>
      </c>
      <c r="AE84">
        <v>1</v>
      </c>
    </row>
    <row r="85" spans="1:31" x14ac:dyDescent="0.2">
      <c r="A85" t="s">
        <v>11</v>
      </c>
      <c r="B85">
        <v>10</v>
      </c>
      <c r="C85" t="s">
        <v>42</v>
      </c>
      <c r="D85" t="s">
        <v>13</v>
      </c>
      <c r="E85" t="s">
        <v>64</v>
      </c>
      <c r="F85">
        <v>0</v>
      </c>
      <c r="G85">
        <v>0</v>
      </c>
      <c r="H85">
        <v>0</v>
      </c>
      <c r="I85">
        <v>1</v>
      </c>
      <c r="J85">
        <v>1</v>
      </c>
      <c r="K85">
        <v>0.1</v>
      </c>
      <c r="R85">
        <v>85</v>
      </c>
      <c r="S85">
        <f t="shared" si="2"/>
        <v>23</v>
      </c>
      <c r="T85">
        <f t="shared" si="3"/>
        <v>8</v>
      </c>
      <c r="V85">
        <v>85</v>
      </c>
      <c r="W85" s="1">
        <f>Tabelle3[[#This Row],[Seite]]-1</f>
        <v>84</v>
      </c>
      <c r="X85">
        <v>23</v>
      </c>
      <c r="Y85">
        <v>8</v>
      </c>
      <c r="Z85" s="2" cm="1">
        <f t="array" ref="Z85">SUMPRODUCT((Tabelle2[Seite]=V85)*Tabelle2[Score_Gewichtet])</f>
        <v>16.600000000000001</v>
      </c>
      <c r="AA85" s="2"/>
      <c r="AD85" t="s">
        <v>150</v>
      </c>
    </row>
    <row r="86" spans="1:31" x14ac:dyDescent="0.2">
      <c r="A86" t="s">
        <v>11</v>
      </c>
      <c r="B86">
        <v>10</v>
      </c>
      <c r="C86" t="s">
        <v>45</v>
      </c>
      <c r="D86" t="s">
        <v>18</v>
      </c>
      <c r="E86" t="s">
        <v>60</v>
      </c>
      <c r="F86">
        <v>0</v>
      </c>
      <c r="G86">
        <v>0</v>
      </c>
      <c r="H86">
        <v>1</v>
      </c>
      <c r="I86">
        <v>0</v>
      </c>
      <c r="J86">
        <v>1</v>
      </c>
      <c r="K86">
        <v>0.5</v>
      </c>
      <c r="R86">
        <v>86</v>
      </c>
      <c r="S86">
        <f t="shared" si="2"/>
        <v>11</v>
      </c>
      <c r="T86">
        <f t="shared" si="3"/>
        <v>47</v>
      </c>
      <c r="V86">
        <v>86</v>
      </c>
      <c r="W86" s="1">
        <f>Tabelle3[[#This Row],[Seite]]-1</f>
        <v>85</v>
      </c>
      <c r="X86">
        <v>11</v>
      </c>
      <c r="Y86">
        <v>47</v>
      </c>
      <c r="Z86" s="2" cm="1">
        <f t="array" ref="Z86">SUMPRODUCT((Tabelle2[Seite]=V86)*Tabelle2[Score_Gewichtet])</f>
        <v>7.8499999999999988</v>
      </c>
      <c r="AA86" s="2"/>
      <c r="AD86" t="s">
        <v>150</v>
      </c>
    </row>
    <row r="87" spans="1:31" x14ac:dyDescent="0.2">
      <c r="A87" t="s">
        <v>11</v>
      </c>
      <c r="B87">
        <v>11</v>
      </c>
      <c r="C87" t="s">
        <v>20</v>
      </c>
      <c r="D87" t="s">
        <v>13</v>
      </c>
      <c r="E87" t="s">
        <v>37</v>
      </c>
      <c r="F87">
        <v>0</v>
      </c>
      <c r="G87">
        <v>0</v>
      </c>
      <c r="H87">
        <v>0</v>
      </c>
      <c r="I87">
        <v>1</v>
      </c>
      <c r="J87">
        <v>1</v>
      </c>
      <c r="K87">
        <v>0.1</v>
      </c>
      <c r="R87">
        <v>87</v>
      </c>
      <c r="S87">
        <f t="shared" si="2"/>
        <v>12</v>
      </c>
      <c r="T87">
        <f t="shared" si="3"/>
        <v>39</v>
      </c>
      <c r="V87">
        <v>87</v>
      </c>
      <c r="W87" s="1">
        <f>Tabelle3[[#This Row],[Seite]]-1</f>
        <v>86</v>
      </c>
      <c r="X87">
        <v>12</v>
      </c>
      <c r="Y87">
        <v>39</v>
      </c>
      <c r="Z87" s="2" cm="1">
        <f t="array" ref="Z87">SUMPRODUCT((Tabelle2[Seite]=V87)*Tabelle2[Score_Gewichtet])</f>
        <v>8.2999999999999989</v>
      </c>
      <c r="AA87" s="2"/>
      <c r="AD87" t="s">
        <v>150</v>
      </c>
    </row>
    <row r="88" spans="1:31" x14ac:dyDescent="0.2">
      <c r="A88" t="s">
        <v>11</v>
      </c>
      <c r="B88">
        <v>11</v>
      </c>
      <c r="C88" t="s">
        <v>12</v>
      </c>
      <c r="D88" t="s">
        <v>13</v>
      </c>
      <c r="E88" t="s">
        <v>65</v>
      </c>
      <c r="F88">
        <v>0</v>
      </c>
      <c r="G88">
        <v>0</v>
      </c>
      <c r="H88">
        <v>0</v>
      </c>
      <c r="I88">
        <v>2</v>
      </c>
      <c r="J88">
        <v>2</v>
      </c>
      <c r="K88">
        <v>0.2</v>
      </c>
      <c r="R88">
        <v>88</v>
      </c>
      <c r="S88">
        <f t="shared" si="2"/>
        <v>15</v>
      </c>
      <c r="T88">
        <f t="shared" si="3"/>
        <v>26</v>
      </c>
      <c r="V88">
        <v>88</v>
      </c>
      <c r="W88" s="1">
        <f>Tabelle3[[#This Row],[Seite]]-1</f>
        <v>87</v>
      </c>
      <c r="X88">
        <v>15</v>
      </c>
      <c r="Y88">
        <v>26</v>
      </c>
      <c r="Z88" s="2" cm="1">
        <f t="array" ref="Z88">SUMPRODUCT((Tabelle2[Seite]=V88)*Tabelle2[Score_Gewichtet])</f>
        <v>9.1999999999999975</v>
      </c>
      <c r="AA88" s="2"/>
      <c r="AD88" t="s">
        <v>150</v>
      </c>
    </row>
    <row r="89" spans="1:31" x14ac:dyDescent="0.2">
      <c r="A89" t="s">
        <v>11</v>
      </c>
      <c r="B89">
        <v>11</v>
      </c>
      <c r="C89" t="s">
        <v>12</v>
      </c>
      <c r="D89" t="s">
        <v>13</v>
      </c>
      <c r="E89" t="s">
        <v>66</v>
      </c>
      <c r="F89">
        <v>0</v>
      </c>
      <c r="G89">
        <v>0</v>
      </c>
      <c r="H89">
        <v>1</v>
      </c>
      <c r="I89">
        <v>0</v>
      </c>
      <c r="J89">
        <v>1</v>
      </c>
      <c r="K89">
        <v>0.5</v>
      </c>
      <c r="R89">
        <v>89</v>
      </c>
      <c r="S89">
        <f t="shared" si="2"/>
        <v>8</v>
      </c>
      <c r="T89">
        <f t="shared" si="3"/>
        <v>75</v>
      </c>
      <c r="V89">
        <v>89</v>
      </c>
      <c r="W89" s="1">
        <f>Tabelle3[[#This Row],[Seite]]-1</f>
        <v>88</v>
      </c>
      <c r="X89">
        <v>8</v>
      </c>
      <c r="Y89">
        <v>75</v>
      </c>
      <c r="Z89" s="2" cm="1">
        <f t="array" ref="Z89">SUMPRODUCT((Tabelle2[Seite]=V89)*Tabelle2[Score_Gewichtet])</f>
        <v>6.75</v>
      </c>
      <c r="AA89" s="2"/>
      <c r="AD89" t="s">
        <v>150</v>
      </c>
    </row>
    <row r="90" spans="1:31" x14ac:dyDescent="0.2">
      <c r="A90" t="s">
        <v>11</v>
      </c>
      <c r="B90">
        <v>11</v>
      </c>
      <c r="C90" t="s">
        <v>15</v>
      </c>
      <c r="D90" t="s">
        <v>13</v>
      </c>
      <c r="E90" t="s">
        <v>67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R90">
        <v>90</v>
      </c>
      <c r="S90">
        <f t="shared" si="2"/>
        <v>9</v>
      </c>
      <c r="T90">
        <f t="shared" si="3"/>
        <v>61</v>
      </c>
      <c r="V90">
        <v>90</v>
      </c>
      <c r="W90" s="1">
        <f>Tabelle3[[#This Row],[Seite]]-1</f>
        <v>89</v>
      </c>
      <c r="X90">
        <v>9</v>
      </c>
      <c r="Y90">
        <v>61</v>
      </c>
      <c r="Z90" s="2" cm="1">
        <f t="array" ref="Z90">SUMPRODUCT((Tabelle2[Seite]=V90)*Tabelle2[Score_Gewichtet])</f>
        <v>15.7</v>
      </c>
      <c r="AA90" s="2"/>
      <c r="AD90" t="s">
        <v>150</v>
      </c>
    </row>
    <row r="91" spans="1:31" x14ac:dyDescent="0.2">
      <c r="A91" t="s">
        <v>11</v>
      </c>
      <c r="B91">
        <v>11</v>
      </c>
      <c r="C91" t="s">
        <v>22</v>
      </c>
      <c r="D91" t="s">
        <v>13</v>
      </c>
      <c r="E91" t="s">
        <v>25</v>
      </c>
      <c r="F91">
        <v>0</v>
      </c>
      <c r="G91">
        <v>0</v>
      </c>
      <c r="H91">
        <v>1</v>
      </c>
      <c r="I91">
        <v>0</v>
      </c>
      <c r="J91">
        <v>1</v>
      </c>
      <c r="K91">
        <v>0.5</v>
      </c>
      <c r="R91">
        <v>91</v>
      </c>
      <c r="S91">
        <f t="shared" si="2"/>
        <v>7</v>
      </c>
      <c r="T91">
        <f t="shared" si="3"/>
        <v>87</v>
      </c>
      <c r="V91">
        <v>91</v>
      </c>
      <c r="W91" s="1">
        <f>Tabelle3[[#This Row],[Seite]]-1</f>
        <v>90</v>
      </c>
      <c r="X91">
        <v>7</v>
      </c>
      <c r="Y91">
        <v>87</v>
      </c>
      <c r="Z91" s="2" cm="1">
        <f t="array" ref="Z91">SUMPRODUCT((Tabelle2[Seite]=V91)*Tabelle2[Score_Gewichtet])</f>
        <v>13.049999999999999</v>
      </c>
      <c r="AA91" s="2"/>
      <c r="AD91" t="s">
        <v>150</v>
      </c>
    </row>
    <row r="92" spans="1:31" x14ac:dyDescent="0.2">
      <c r="A92" t="s">
        <v>11</v>
      </c>
      <c r="B92">
        <v>11</v>
      </c>
      <c r="C92" t="s">
        <v>22</v>
      </c>
      <c r="D92" t="s">
        <v>13</v>
      </c>
      <c r="E92" t="s">
        <v>65</v>
      </c>
      <c r="F92">
        <v>0</v>
      </c>
      <c r="G92">
        <v>0</v>
      </c>
      <c r="H92">
        <v>0</v>
      </c>
      <c r="I92">
        <v>2</v>
      </c>
      <c r="J92">
        <v>2</v>
      </c>
      <c r="K92">
        <v>0.2</v>
      </c>
      <c r="R92">
        <v>92</v>
      </c>
      <c r="S92">
        <f t="shared" si="2"/>
        <v>16</v>
      </c>
      <c r="T92">
        <f t="shared" si="3"/>
        <v>21</v>
      </c>
      <c r="V92">
        <v>92</v>
      </c>
      <c r="W92" s="1">
        <f>Tabelle3[[#This Row],[Seite]]-1</f>
        <v>91</v>
      </c>
      <c r="X92">
        <v>16</v>
      </c>
      <c r="Y92">
        <v>21</v>
      </c>
      <c r="Z92" s="2" cm="1">
        <f t="array" ref="Z92">SUMPRODUCT((Tabelle2[Seite]=V92)*Tabelle2[Score_Gewichtet])</f>
        <v>14.049999999999999</v>
      </c>
      <c r="AA92" s="2"/>
      <c r="AD92" t="s">
        <v>150</v>
      </c>
    </row>
    <row r="93" spans="1:31" x14ac:dyDescent="0.2">
      <c r="A93" t="s">
        <v>11</v>
      </c>
      <c r="B93">
        <v>11</v>
      </c>
      <c r="C93" t="s">
        <v>22</v>
      </c>
      <c r="D93" t="s">
        <v>13</v>
      </c>
      <c r="E93" t="s">
        <v>68</v>
      </c>
      <c r="F93">
        <v>0</v>
      </c>
      <c r="G93">
        <v>0</v>
      </c>
      <c r="H93">
        <v>2</v>
      </c>
      <c r="I93">
        <v>0</v>
      </c>
      <c r="J93">
        <v>2</v>
      </c>
      <c r="K93">
        <v>1.2</v>
      </c>
      <c r="R93">
        <v>93</v>
      </c>
      <c r="S93">
        <f t="shared" si="2"/>
        <v>7</v>
      </c>
      <c r="T93">
        <f t="shared" si="3"/>
        <v>87</v>
      </c>
      <c r="V93">
        <v>93</v>
      </c>
      <c r="W93" s="1">
        <f>Tabelle3[[#This Row],[Seite]]-1</f>
        <v>92</v>
      </c>
      <c r="X93">
        <v>7</v>
      </c>
      <c r="Y93">
        <v>87</v>
      </c>
      <c r="Z93" s="2" cm="1">
        <f t="array" ref="Z93">SUMPRODUCT((Tabelle2[Seite]=V93)*Tabelle2[Score_Gewichtet])</f>
        <v>11.6</v>
      </c>
      <c r="AA93" s="2"/>
      <c r="AD93" t="s">
        <v>150</v>
      </c>
    </row>
    <row r="94" spans="1:31" x14ac:dyDescent="0.2">
      <c r="A94" t="s">
        <v>11</v>
      </c>
      <c r="B94">
        <v>11</v>
      </c>
      <c r="C94" t="s">
        <v>17</v>
      </c>
      <c r="D94" t="s">
        <v>13</v>
      </c>
      <c r="E94" t="s">
        <v>59</v>
      </c>
      <c r="F94">
        <v>1</v>
      </c>
      <c r="G94">
        <v>0</v>
      </c>
      <c r="H94">
        <v>0</v>
      </c>
      <c r="I94">
        <v>1</v>
      </c>
      <c r="J94">
        <v>2</v>
      </c>
      <c r="K94">
        <v>1.1000000000000001</v>
      </c>
      <c r="R94">
        <v>94</v>
      </c>
      <c r="S94">
        <f t="shared" si="2"/>
        <v>6</v>
      </c>
      <c r="T94">
        <f t="shared" si="3"/>
        <v>95</v>
      </c>
      <c r="V94">
        <v>94</v>
      </c>
      <c r="W94" s="1">
        <f>Tabelle3[[#This Row],[Seite]]-1</f>
        <v>93</v>
      </c>
      <c r="X94">
        <v>6</v>
      </c>
      <c r="Y94">
        <v>95</v>
      </c>
      <c r="Z94" s="2" cm="1">
        <f t="array" ref="Z94">SUMPRODUCT((Tabelle2[Seite]=V94)*Tabelle2[Score_Gewichtet])</f>
        <v>4.4000000000000004</v>
      </c>
      <c r="AA94" s="2"/>
      <c r="AD94" t="s">
        <v>150</v>
      </c>
    </row>
    <row r="95" spans="1:31" x14ac:dyDescent="0.2">
      <c r="A95" t="s">
        <v>11</v>
      </c>
      <c r="B95">
        <v>11</v>
      </c>
      <c r="C95" t="s">
        <v>17</v>
      </c>
      <c r="D95" t="s">
        <v>13</v>
      </c>
      <c r="E95" t="s">
        <v>40</v>
      </c>
      <c r="F95">
        <v>2</v>
      </c>
      <c r="G95">
        <v>0</v>
      </c>
      <c r="H95">
        <v>0</v>
      </c>
      <c r="I95">
        <v>0</v>
      </c>
      <c r="J95">
        <v>2</v>
      </c>
      <c r="K95">
        <v>2</v>
      </c>
      <c r="R95">
        <v>95</v>
      </c>
      <c r="S95">
        <f t="shared" si="2"/>
        <v>12</v>
      </c>
      <c r="T95">
        <f t="shared" si="3"/>
        <v>39</v>
      </c>
      <c r="V95">
        <v>95</v>
      </c>
      <c r="W95" s="1">
        <f>Tabelle3[[#This Row],[Seite]]-1</f>
        <v>94</v>
      </c>
      <c r="X95">
        <v>12</v>
      </c>
      <c r="Y95">
        <v>39</v>
      </c>
      <c r="Z95" s="2" cm="1">
        <f t="array" ref="Z95">SUMPRODUCT((Tabelle2[Seite]=V95)*Tabelle2[Score_Gewichtet])</f>
        <v>11.299999999999999</v>
      </c>
      <c r="AA95" s="2"/>
      <c r="AD95" t="s">
        <v>150</v>
      </c>
    </row>
    <row r="96" spans="1:31" x14ac:dyDescent="0.2">
      <c r="A96" t="s">
        <v>11</v>
      </c>
      <c r="B96">
        <v>11</v>
      </c>
      <c r="C96" t="s">
        <v>17</v>
      </c>
      <c r="D96" t="s">
        <v>13</v>
      </c>
      <c r="E96" t="s">
        <v>66</v>
      </c>
      <c r="F96">
        <v>0</v>
      </c>
      <c r="G96">
        <v>0</v>
      </c>
      <c r="H96">
        <v>1</v>
      </c>
      <c r="I96">
        <v>0</v>
      </c>
      <c r="J96">
        <v>1</v>
      </c>
      <c r="K96">
        <v>0.5</v>
      </c>
      <c r="R96">
        <v>96</v>
      </c>
      <c r="S96">
        <f t="shared" si="2"/>
        <v>5</v>
      </c>
      <c r="T96">
        <f t="shared" si="3"/>
        <v>100</v>
      </c>
      <c r="V96">
        <v>96</v>
      </c>
      <c r="W96" s="1">
        <f>Tabelle3[[#This Row],[Seite]]-1</f>
        <v>95</v>
      </c>
      <c r="X96">
        <v>5</v>
      </c>
      <c r="Y96">
        <v>100</v>
      </c>
      <c r="Z96" s="2" cm="1">
        <f t="array" ref="Z96">SUMPRODUCT((Tabelle2[Seite]=V96)*Tabelle2[Score_Gewichtet])</f>
        <v>4.5</v>
      </c>
      <c r="AA96" s="2"/>
      <c r="AD96" t="s">
        <v>150</v>
      </c>
    </row>
    <row r="97" spans="1:31" x14ac:dyDescent="0.2">
      <c r="A97" t="s">
        <v>11</v>
      </c>
      <c r="B97">
        <v>11</v>
      </c>
      <c r="C97" t="s">
        <v>17</v>
      </c>
      <c r="D97" t="s">
        <v>13</v>
      </c>
      <c r="E97" t="s">
        <v>69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R97">
        <v>97</v>
      </c>
      <c r="S97">
        <f t="shared" si="2"/>
        <v>11</v>
      </c>
      <c r="T97">
        <f t="shared" si="3"/>
        <v>47</v>
      </c>
      <c r="V97">
        <v>97</v>
      </c>
      <c r="W97" s="1">
        <f>Tabelle3[[#This Row],[Seite]]-1</f>
        <v>96</v>
      </c>
      <c r="X97">
        <v>11</v>
      </c>
      <c r="Y97">
        <v>47</v>
      </c>
      <c r="Z97" s="2" cm="1">
        <f t="array" ref="Z97">SUMPRODUCT((Tabelle2[Seite]=V97)*Tabelle2[Score_Gewichtet])</f>
        <v>8.9499999999999993</v>
      </c>
      <c r="AA97" s="2"/>
      <c r="AD97" t="s">
        <v>150</v>
      </c>
    </row>
    <row r="98" spans="1:31" x14ac:dyDescent="0.2">
      <c r="A98" t="s">
        <v>11</v>
      </c>
      <c r="B98">
        <v>11</v>
      </c>
      <c r="C98" t="s">
        <v>17</v>
      </c>
      <c r="D98" t="s">
        <v>18</v>
      </c>
      <c r="E98" t="s">
        <v>69</v>
      </c>
      <c r="F98">
        <v>1</v>
      </c>
      <c r="G98">
        <v>0</v>
      </c>
      <c r="H98">
        <v>0</v>
      </c>
      <c r="I98">
        <v>0</v>
      </c>
      <c r="J98">
        <v>1</v>
      </c>
      <c r="K98">
        <v>1</v>
      </c>
      <c r="R98">
        <v>98</v>
      </c>
      <c r="S98">
        <f t="shared" si="2"/>
        <v>14</v>
      </c>
      <c r="T98">
        <f t="shared" si="3"/>
        <v>31</v>
      </c>
      <c r="V98">
        <v>98</v>
      </c>
      <c r="W98" s="1">
        <f>Tabelle3[[#This Row],[Seite]]-1</f>
        <v>97</v>
      </c>
      <c r="X98">
        <v>14</v>
      </c>
      <c r="Y98">
        <v>31</v>
      </c>
      <c r="Z98" s="2" cm="1">
        <f t="array" ref="Z98">SUMPRODUCT((Tabelle2[Seite]=V98)*Tabelle2[Score_Gewichtet])</f>
        <v>16.949999999999996</v>
      </c>
      <c r="AA98" s="2"/>
      <c r="AD98" t="s">
        <v>150</v>
      </c>
    </row>
    <row r="99" spans="1:31" x14ac:dyDescent="0.2">
      <c r="A99" t="s">
        <v>11</v>
      </c>
      <c r="B99">
        <v>11</v>
      </c>
      <c r="C99" t="s">
        <v>42</v>
      </c>
      <c r="D99" t="s">
        <v>28</v>
      </c>
      <c r="E99" t="s">
        <v>43</v>
      </c>
      <c r="F99">
        <v>0</v>
      </c>
      <c r="G99">
        <v>0</v>
      </c>
      <c r="H99">
        <v>1</v>
      </c>
      <c r="I99">
        <v>0</v>
      </c>
      <c r="J99">
        <v>1</v>
      </c>
      <c r="K99">
        <v>0.6</v>
      </c>
      <c r="R99">
        <v>103</v>
      </c>
      <c r="S99">
        <f t="shared" si="2"/>
        <v>15</v>
      </c>
      <c r="T99">
        <f t="shared" si="3"/>
        <v>26</v>
      </c>
      <c r="V99">
        <v>103</v>
      </c>
      <c r="W99" s="1">
        <f>Tabelle3[[#This Row],[Seite]]-1</f>
        <v>102</v>
      </c>
      <c r="X99">
        <v>15</v>
      </c>
      <c r="Y99">
        <v>26</v>
      </c>
      <c r="Z99" s="2" cm="1">
        <f t="array" ref="Z99">SUMPRODUCT((Tabelle2[Seite]=V99)*Tabelle2[Score_Gewichtet])</f>
        <v>21.5</v>
      </c>
      <c r="AA99" s="2" t="s">
        <v>161</v>
      </c>
      <c r="AB99" t="s">
        <v>151</v>
      </c>
      <c r="AE99">
        <v>2</v>
      </c>
    </row>
    <row r="100" spans="1:31" x14ac:dyDescent="0.2">
      <c r="A100" t="s">
        <v>11</v>
      </c>
      <c r="B100">
        <v>11</v>
      </c>
      <c r="C100" t="s">
        <v>42</v>
      </c>
      <c r="D100" t="s">
        <v>13</v>
      </c>
      <c r="E100" t="s">
        <v>70</v>
      </c>
      <c r="F100">
        <v>0</v>
      </c>
      <c r="G100">
        <v>0</v>
      </c>
      <c r="H100">
        <v>1</v>
      </c>
      <c r="I100">
        <v>1</v>
      </c>
      <c r="J100">
        <v>2</v>
      </c>
      <c r="K100">
        <v>0.7</v>
      </c>
      <c r="R100">
        <v>104</v>
      </c>
      <c r="S100">
        <f t="shared" si="2"/>
        <v>21</v>
      </c>
      <c r="T100">
        <f t="shared" si="3"/>
        <v>10</v>
      </c>
      <c r="V100">
        <v>104</v>
      </c>
      <c r="W100" s="1">
        <f>Tabelle3[[#This Row],[Seite]]-1</f>
        <v>103</v>
      </c>
      <c r="X100">
        <v>21</v>
      </c>
      <c r="Y100">
        <v>10</v>
      </c>
      <c r="Z100" s="2" cm="1">
        <f t="array" ref="Z100">SUMPRODUCT((Tabelle2[Seite]=V100)*Tabelle2[Score_Gewichtet])</f>
        <v>17</v>
      </c>
      <c r="AA100" s="2" t="s">
        <v>161</v>
      </c>
      <c r="AB100" t="s">
        <v>151</v>
      </c>
      <c r="AE100">
        <v>2</v>
      </c>
    </row>
    <row r="101" spans="1:31" x14ac:dyDescent="0.2">
      <c r="A101" t="s">
        <v>11</v>
      </c>
      <c r="B101">
        <v>11</v>
      </c>
      <c r="C101" t="s">
        <v>42</v>
      </c>
      <c r="D101" t="s">
        <v>13</v>
      </c>
      <c r="E101" t="s">
        <v>52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0.5</v>
      </c>
      <c r="R101">
        <v>105</v>
      </c>
      <c r="S101">
        <f t="shared" si="2"/>
        <v>20</v>
      </c>
      <c r="T101">
        <f t="shared" si="3"/>
        <v>13</v>
      </c>
      <c r="V101">
        <v>105</v>
      </c>
      <c r="W101" s="1">
        <f>Tabelle3[[#This Row],[Seite]]-1</f>
        <v>104</v>
      </c>
      <c r="X101">
        <v>20</v>
      </c>
      <c r="Y101">
        <v>13</v>
      </c>
      <c r="Z101" s="2" cm="1">
        <f t="array" ref="Z101">SUMPRODUCT((Tabelle2[Seite]=V101)*Tabelle2[Score_Gewichtet])</f>
        <v>21.55</v>
      </c>
      <c r="AA101" s="2"/>
      <c r="AD101" t="s">
        <v>150</v>
      </c>
    </row>
    <row r="102" spans="1:31" x14ac:dyDescent="0.2">
      <c r="A102" t="s">
        <v>11</v>
      </c>
      <c r="B102">
        <v>12</v>
      </c>
      <c r="C102" t="s">
        <v>20</v>
      </c>
      <c r="D102" t="s">
        <v>18</v>
      </c>
      <c r="E102" t="s">
        <v>71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0.6</v>
      </c>
      <c r="R102">
        <v>106</v>
      </c>
      <c r="S102">
        <f t="shared" si="2"/>
        <v>14</v>
      </c>
      <c r="T102">
        <f t="shared" si="3"/>
        <v>31</v>
      </c>
      <c r="V102">
        <v>106</v>
      </c>
      <c r="W102" s="1">
        <f>Tabelle3[[#This Row],[Seite]]-1</f>
        <v>105</v>
      </c>
      <c r="X102">
        <v>14</v>
      </c>
      <c r="Y102">
        <v>31</v>
      </c>
      <c r="Z102" s="2" cm="1">
        <f t="array" ref="Z102">SUMPRODUCT((Tabelle2[Seite]=V102)*Tabelle2[Score_Gewichtet])</f>
        <v>10.299999999999999</v>
      </c>
      <c r="AA102" s="2"/>
      <c r="AD102" t="s">
        <v>150</v>
      </c>
    </row>
    <row r="103" spans="1:31" x14ac:dyDescent="0.2">
      <c r="A103" t="s">
        <v>11</v>
      </c>
      <c r="B103">
        <v>12</v>
      </c>
      <c r="C103" t="s">
        <v>20</v>
      </c>
      <c r="D103" t="s">
        <v>13</v>
      </c>
      <c r="E103" t="s">
        <v>72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0.75</v>
      </c>
      <c r="R103">
        <v>107</v>
      </c>
      <c r="S103">
        <f t="shared" si="2"/>
        <v>4</v>
      </c>
      <c r="T103">
        <f t="shared" si="3"/>
        <v>104</v>
      </c>
      <c r="V103">
        <v>107</v>
      </c>
      <c r="W103" s="1">
        <f>Tabelle3[[#This Row],[Seite]]-1</f>
        <v>106</v>
      </c>
      <c r="X103">
        <v>4</v>
      </c>
      <c r="Y103">
        <v>104</v>
      </c>
      <c r="Z103" s="2" cm="1">
        <f t="array" ref="Z103">SUMPRODUCT((Tabelle2[Seite]=V103)*Tabelle2[Score_Gewichtet])</f>
        <v>3.4000000000000004</v>
      </c>
      <c r="AA103" s="2" t="s">
        <v>152</v>
      </c>
      <c r="AD103" t="s">
        <v>150</v>
      </c>
    </row>
    <row r="104" spans="1:31" x14ac:dyDescent="0.2">
      <c r="A104" t="s">
        <v>11</v>
      </c>
      <c r="B104">
        <v>12</v>
      </c>
      <c r="C104" t="s">
        <v>20</v>
      </c>
      <c r="D104" t="s">
        <v>13</v>
      </c>
      <c r="E104" t="s">
        <v>73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0.75</v>
      </c>
      <c r="R104">
        <v>108</v>
      </c>
      <c r="S104">
        <f t="shared" si="2"/>
        <v>13</v>
      </c>
      <c r="T104">
        <f t="shared" si="3"/>
        <v>34</v>
      </c>
      <c r="V104">
        <v>108</v>
      </c>
      <c r="W104" s="1">
        <f>Tabelle3[[#This Row],[Seite]]-1</f>
        <v>107</v>
      </c>
      <c r="X104">
        <v>13</v>
      </c>
      <c r="Y104">
        <v>34</v>
      </c>
      <c r="Z104" s="2" cm="1">
        <f t="array" ref="Z104">SUMPRODUCT((Tabelle2[Seite]=V104)*Tabelle2[Score_Gewichtet])</f>
        <v>8.5499999999999989</v>
      </c>
      <c r="AA104" s="2"/>
    </row>
    <row r="105" spans="1:31" x14ac:dyDescent="0.2">
      <c r="A105" t="s">
        <v>11</v>
      </c>
      <c r="B105">
        <v>12</v>
      </c>
      <c r="C105" t="s">
        <v>20</v>
      </c>
      <c r="D105" t="s">
        <v>13</v>
      </c>
      <c r="E105" t="s">
        <v>33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0.5</v>
      </c>
      <c r="R105">
        <v>109</v>
      </c>
      <c r="S105">
        <f t="shared" si="2"/>
        <v>5</v>
      </c>
      <c r="T105">
        <f t="shared" si="3"/>
        <v>100</v>
      </c>
      <c r="V105">
        <v>109</v>
      </c>
      <c r="W105" s="1">
        <f>Tabelle3[[#This Row],[Seite]]-1</f>
        <v>108</v>
      </c>
      <c r="X105">
        <v>5</v>
      </c>
      <c r="Y105">
        <v>100</v>
      </c>
      <c r="Z105" s="2" cm="1">
        <f t="array" ref="Z105">SUMPRODUCT((Tabelle2[Seite]=V105)*Tabelle2[Score_Gewichtet])</f>
        <v>6.1</v>
      </c>
      <c r="AA105" s="2"/>
    </row>
    <row r="106" spans="1:31" x14ac:dyDescent="0.2">
      <c r="A106" t="s">
        <v>11</v>
      </c>
      <c r="B106">
        <v>12</v>
      </c>
      <c r="C106" t="s">
        <v>12</v>
      </c>
      <c r="D106" t="s">
        <v>13</v>
      </c>
      <c r="E106" t="s">
        <v>14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0.5</v>
      </c>
      <c r="R106">
        <v>110</v>
      </c>
      <c r="S106">
        <f t="shared" si="2"/>
        <v>9</v>
      </c>
      <c r="T106">
        <f t="shared" si="3"/>
        <v>61</v>
      </c>
      <c r="V106">
        <v>110</v>
      </c>
      <c r="W106" s="1">
        <f>Tabelle3[[#This Row],[Seite]]-1</f>
        <v>109</v>
      </c>
      <c r="X106">
        <v>9</v>
      </c>
      <c r="Y106">
        <v>61</v>
      </c>
      <c r="Z106" s="2" cm="1">
        <f t="array" ref="Z106">SUMPRODUCT((Tabelle2[Seite]=V106)*Tabelle2[Score_Gewichtet])</f>
        <v>7.15</v>
      </c>
      <c r="AA106" s="2"/>
    </row>
    <row r="107" spans="1:31" x14ac:dyDescent="0.2">
      <c r="A107" t="s">
        <v>11</v>
      </c>
      <c r="B107">
        <v>12</v>
      </c>
      <c r="C107" t="s">
        <v>12</v>
      </c>
      <c r="D107" t="s">
        <v>13</v>
      </c>
      <c r="E107" t="s">
        <v>74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0.5</v>
      </c>
      <c r="R107">
        <v>111</v>
      </c>
      <c r="S107">
        <f t="shared" si="2"/>
        <v>11</v>
      </c>
      <c r="T107">
        <f t="shared" si="3"/>
        <v>47</v>
      </c>
      <c r="V107">
        <v>111</v>
      </c>
      <c r="W107" s="1">
        <f>Tabelle3[[#This Row],[Seite]]-1</f>
        <v>110</v>
      </c>
      <c r="X107">
        <v>11</v>
      </c>
      <c r="Y107">
        <v>47</v>
      </c>
      <c r="Z107" s="2" cm="1">
        <f t="array" ref="Z107">SUMPRODUCT((Tabelle2[Seite]=V107)*Tabelle2[Score_Gewichtet])</f>
        <v>18.45</v>
      </c>
      <c r="AA107" s="2"/>
    </row>
    <row r="108" spans="1:31" x14ac:dyDescent="0.2">
      <c r="A108" t="s">
        <v>11</v>
      </c>
      <c r="B108">
        <v>12</v>
      </c>
      <c r="C108" t="s">
        <v>12</v>
      </c>
      <c r="D108" t="s">
        <v>13</v>
      </c>
      <c r="E108" t="s">
        <v>58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0.5</v>
      </c>
      <c r="R108">
        <v>112</v>
      </c>
      <c r="S108">
        <f t="shared" si="2"/>
        <v>6</v>
      </c>
      <c r="T108">
        <f t="shared" si="3"/>
        <v>95</v>
      </c>
      <c r="V108">
        <v>112</v>
      </c>
      <c r="W108" s="1">
        <f>Tabelle3[[#This Row],[Seite]]-1</f>
        <v>111</v>
      </c>
      <c r="X108">
        <v>6</v>
      </c>
      <c r="Y108">
        <v>95</v>
      </c>
      <c r="Z108" s="2" cm="1">
        <f t="array" ref="Z108">SUMPRODUCT((Tabelle2[Seite]=V108)*Tabelle2[Score_Gewichtet])</f>
        <v>1.35</v>
      </c>
      <c r="AA108" s="2"/>
    </row>
    <row r="109" spans="1:31" x14ac:dyDescent="0.2">
      <c r="A109" t="s">
        <v>11</v>
      </c>
      <c r="B109">
        <v>12</v>
      </c>
      <c r="C109" t="s">
        <v>15</v>
      </c>
      <c r="D109" t="s">
        <v>13</v>
      </c>
      <c r="E109" t="s">
        <v>75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0.1</v>
      </c>
      <c r="R109">
        <v>113</v>
      </c>
      <c r="S109">
        <f t="shared" si="2"/>
        <v>8</v>
      </c>
      <c r="T109">
        <f t="shared" si="3"/>
        <v>75</v>
      </c>
      <c r="V109">
        <v>113</v>
      </c>
      <c r="W109" s="1">
        <f>Tabelle3[[#This Row],[Seite]]-1</f>
        <v>112</v>
      </c>
      <c r="X109">
        <v>8</v>
      </c>
      <c r="Y109">
        <v>75</v>
      </c>
      <c r="Z109" s="2" cm="1">
        <f t="array" ref="Z109">SUMPRODUCT((Tabelle2[Seite]=V109)*Tabelle2[Score_Gewichtet])</f>
        <v>3.5</v>
      </c>
      <c r="AA109" s="2"/>
    </row>
    <row r="110" spans="1:31" x14ac:dyDescent="0.2">
      <c r="A110" t="s">
        <v>11</v>
      </c>
      <c r="B110">
        <v>12</v>
      </c>
      <c r="C110" t="s">
        <v>15</v>
      </c>
      <c r="D110" t="s">
        <v>13</v>
      </c>
      <c r="E110" t="s">
        <v>67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0.5</v>
      </c>
      <c r="R110">
        <v>114</v>
      </c>
      <c r="S110">
        <f t="shared" si="2"/>
        <v>7</v>
      </c>
      <c r="T110">
        <f t="shared" si="3"/>
        <v>87</v>
      </c>
      <c r="V110">
        <v>114</v>
      </c>
      <c r="W110" s="1">
        <f>Tabelle3[[#This Row],[Seite]]-1</f>
        <v>113</v>
      </c>
      <c r="X110">
        <v>7</v>
      </c>
      <c r="Y110">
        <v>87</v>
      </c>
      <c r="Z110" s="2" cm="1">
        <f t="array" ref="Z110">SUMPRODUCT((Tabelle2[Seite]=V110)*Tabelle2[Score_Gewichtet])</f>
        <v>8.25</v>
      </c>
      <c r="AA110" s="2"/>
    </row>
    <row r="111" spans="1:31" x14ac:dyDescent="0.2">
      <c r="A111" t="s">
        <v>11</v>
      </c>
      <c r="B111">
        <v>12</v>
      </c>
      <c r="C111" t="s">
        <v>22</v>
      </c>
      <c r="D111" t="s">
        <v>13</v>
      </c>
      <c r="E111" t="s">
        <v>54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0.1</v>
      </c>
      <c r="R111">
        <v>115</v>
      </c>
      <c r="S111">
        <f t="shared" si="2"/>
        <v>13</v>
      </c>
      <c r="T111">
        <f t="shared" si="3"/>
        <v>34</v>
      </c>
      <c r="V111">
        <v>115</v>
      </c>
      <c r="W111" s="1">
        <f>Tabelle3[[#This Row],[Seite]]-1</f>
        <v>114</v>
      </c>
      <c r="X111">
        <v>13</v>
      </c>
      <c r="Y111">
        <v>34</v>
      </c>
      <c r="Z111" s="2" cm="1">
        <f t="array" ref="Z111">SUMPRODUCT((Tabelle2[Seite]=V111)*Tabelle2[Score_Gewichtet])</f>
        <v>13.899999999999999</v>
      </c>
      <c r="AA111" s="2"/>
    </row>
    <row r="112" spans="1:31" x14ac:dyDescent="0.2">
      <c r="A112" t="s">
        <v>11</v>
      </c>
      <c r="B112">
        <v>12</v>
      </c>
      <c r="C112" t="s">
        <v>22</v>
      </c>
      <c r="D112" t="s">
        <v>18</v>
      </c>
      <c r="E112" t="s">
        <v>63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0.75</v>
      </c>
      <c r="R112">
        <v>116</v>
      </c>
      <c r="S112">
        <f t="shared" si="2"/>
        <v>8</v>
      </c>
      <c r="T112">
        <f t="shared" si="3"/>
        <v>75</v>
      </c>
      <c r="V112">
        <v>116</v>
      </c>
      <c r="W112" s="1">
        <f>Tabelle3[[#This Row],[Seite]]-1</f>
        <v>115</v>
      </c>
      <c r="X112">
        <v>8</v>
      </c>
      <c r="Y112">
        <v>75</v>
      </c>
      <c r="Z112" s="2" cm="1">
        <f t="array" ref="Z112">SUMPRODUCT((Tabelle2[Seite]=V112)*Tabelle2[Score_Gewichtet])</f>
        <v>4.8500000000000005</v>
      </c>
      <c r="AA112" s="2"/>
    </row>
    <row r="113" spans="1:27" x14ac:dyDescent="0.2">
      <c r="A113" t="s">
        <v>11</v>
      </c>
      <c r="B113">
        <v>12</v>
      </c>
      <c r="C113" t="s">
        <v>17</v>
      </c>
      <c r="D113" t="s">
        <v>13</v>
      </c>
      <c r="E113" t="s">
        <v>59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0.5</v>
      </c>
      <c r="R113">
        <v>117</v>
      </c>
      <c r="S113">
        <f t="shared" si="2"/>
        <v>7</v>
      </c>
      <c r="T113">
        <f t="shared" si="3"/>
        <v>87</v>
      </c>
      <c r="V113">
        <v>117</v>
      </c>
      <c r="W113" s="1">
        <f>Tabelle3[[#This Row],[Seite]]-1</f>
        <v>116</v>
      </c>
      <c r="X113">
        <v>7</v>
      </c>
      <c r="Y113">
        <v>87</v>
      </c>
      <c r="Z113" s="2" cm="1">
        <f t="array" ref="Z113">SUMPRODUCT((Tabelle2[Seite]=V113)*Tabelle2[Score_Gewichtet])</f>
        <v>6.6</v>
      </c>
      <c r="AA113" s="2"/>
    </row>
    <row r="114" spans="1:27" x14ac:dyDescent="0.2">
      <c r="A114" t="s">
        <v>11</v>
      </c>
      <c r="B114">
        <v>12</v>
      </c>
      <c r="C114" t="s">
        <v>17</v>
      </c>
      <c r="D114" t="s">
        <v>18</v>
      </c>
      <c r="E114" t="s">
        <v>76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0.1</v>
      </c>
      <c r="R114">
        <v>118</v>
      </c>
      <c r="S114">
        <f t="shared" si="2"/>
        <v>8</v>
      </c>
      <c r="T114">
        <f t="shared" si="3"/>
        <v>75</v>
      </c>
      <c r="V114">
        <v>118</v>
      </c>
      <c r="W114" s="3">
        <f>Tabelle3[[#This Row],[Seite]]-1</f>
        <v>117</v>
      </c>
      <c r="X114">
        <v>8</v>
      </c>
      <c r="Y114">
        <v>75</v>
      </c>
      <c r="Z114" s="2" cm="1">
        <f t="array" ref="Z114">SUMPRODUCT((Tabelle2[Seite]=V114)*Tabelle2[Score_Gewichtet])</f>
        <v>5.6</v>
      </c>
      <c r="AA114" s="2"/>
    </row>
    <row r="115" spans="1:27" x14ac:dyDescent="0.2">
      <c r="A115" t="s">
        <v>11</v>
      </c>
      <c r="B115">
        <v>12</v>
      </c>
      <c r="C115" t="s">
        <v>17</v>
      </c>
      <c r="D115" t="s">
        <v>13</v>
      </c>
      <c r="E115" t="s">
        <v>41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0.1</v>
      </c>
      <c r="R115">
        <v>120</v>
      </c>
      <c r="S115">
        <f t="shared" si="2"/>
        <v>36</v>
      </c>
      <c r="T115">
        <f t="shared" si="3"/>
        <v>1</v>
      </c>
      <c r="V115">
        <v>120</v>
      </c>
      <c r="W115" s="3">
        <f>Tabelle3[[#This Row],[Seite]]-1</f>
        <v>119</v>
      </c>
      <c r="X115">
        <v>36</v>
      </c>
      <c r="Y115">
        <v>1</v>
      </c>
      <c r="Z115" s="2" cm="1">
        <f t="array" ref="Z115">SUMPRODUCT((Tabelle2[Seite]=V115)*Tabelle2[Score_Gewichtet])</f>
        <v>35.999999999999993</v>
      </c>
      <c r="AA115" s="2"/>
    </row>
    <row r="116" spans="1:27" x14ac:dyDescent="0.2">
      <c r="A116" t="s">
        <v>11</v>
      </c>
      <c r="B116">
        <v>12</v>
      </c>
      <c r="C116" t="s">
        <v>42</v>
      </c>
      <c r="D116" t="s">
        <v>13</v>
      </c>
      <c r="E116" t="s">
        <v>71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0.6</v>
      </c>
      <c r="R116">
        <v>121</v>
      </c>
      <c r="S116">
        <f t="shared" si="2"/>
        <v>7</v>
      </c>
      <c r="T116">
        <f t="shared" si="3"/>
        <v>87</v>
      </c>
      <c r="V116">
        <v>121</v>
      </c>
      <c r="W116" s="3">
        <f>Tabelle3[[#This Row],[Seite]]-1</f>
        <v>120</v>
      </c>
      <c r="X116">
        <v>7</v>
      </c>
      <c r="Y116">
        <v>87</v>
      </c>
      <c r="Z116" s="2" cm="1">
        <f t="array" ref="Z116">SUMPRODUCT((Tabelle2[Seite]=V116)*Tabelle2[Score_Gewichtet])</f>
        <v>7.4</v>
      </c>
      <c r="AA116" s="2"/>
    </row>
    <row r="117" spans="1:27" x14ac:dyDescent="0.2">
      <c r="A117" t="s">
        <v>11</v>
      </c>
      <c r="B117">
        <v>12</v>
      </c>
      <c r="C117" t="s">
        <v>42</v>
      </c>
      <c r="D117" t="s">
        <v>18</v>
      </c>
      <c r="E117" t="s">
        <v>71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0.6</v>
      </c>
      <c r="W117" s="3"/>
      <c r="Z117" s="2"/>
      <c r="AA117" s="2"/>
    </row>
    <row r="118" spans="1:27" x14ac:dyDescent="0.2">
      <c r="A118" t="s">
        <v>11</v>
      </c>
      <c r="B118">
        <v>12</v>
      </c>
      <c r="C118" t="s">
        <v>42</v>
      </c>
      <c r="D118" t="s">
        <v>13</v>
      </c>
      <c r="E118" t="s">
        <v>75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0.1</v>
      </c>
      <c r="W118" s="3"/>
      <c r="Z118" s="2"/>
      <c r="AA118" s="2"/>
    </row>
    <row r="119" spans="1:27" x14ac:dyDescent="0.2">
      <c r="A119" t="s">
        <v>11</v>
      </c>
      <c r="B119">
        <v>12</v>
      </c>
      <c r="C119" t="s">
        <v>42</v>
      </c>
      <c r="D119" t="s">
        <v>13</v>
      </c>
      <c r="E119" t="s">
        <v>64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</row>
    <row r="120" spans="1:27" x14ac:dyDescent="0.2">
      <c r="A120" t="s">
        <v>11</v>
      </c>
      <c r="B120">
        <v>12</v>
      </c>
      <c r="C120" t="s">
        <v>45</v>
      </c>
      <c r="D120" t="s">
        <v>13</v>
      </c>
      <c r="E120" t="s">
        <v>77</v>
      </c>
      <c r="F120">
        <v>0</v>
      </c>
      <c r="G120">
        <v>2</v>
      </c>
      <c r="H120">
        <v>0</v>
      </c>
      <c r="I120">
        <v>0</v>
      </c>
      <c r="J120">
        <v>2</v>
      </c>
      <c r="K120">
        <v>1.5</v>
      </c>
    </row>
    <row r="121" spans="1:27" x14ac:dyDescent="0.2">
      <c r="A121" t="s">
        <v>11</v>
      </c>
      <c r="B121">
        <v>13</v>
      </c>
      <c r="C121" t="s">
        <v>20</v>
      </c>
      <c r="D121" t="s">
        <v>18</v>
      </c>
      <c r="E121" t="s">
        <v>35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0.5</v>
      </c>
    </row>
    <row r="122" spans="1:27" x14ac:dyDescent="0.2">
      <c r="A122" t="s">
        <v>11</v>
      </c>
      <c r="B122">
        <v>13</v>
      </c>
      <c r="C122" t="s">
        <v>20</v>
      </c>
      <c r="D122" t="s">
        <v>28</v>
      </c>
      <c r="E122" t="s">
        <v>61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0.5</v>
      </c>
    </row>
    <row r="123" spans="1:27" x14ac:dyDescent="0.2">
      <c r="A123" t="s">
        <v>11</v>
      </c>
      <c r="B123">
        <v>13</v>
      </c>
      <c r="C123" t="s">
        <v>20</v>
      </c>
      <c r="D123" t="s">
        <v>13</v>
      </c>
      <c r="E123" t="s">
        <v>37</v>
      </c>
      <c r="F123">
        <v>3</v>
      </c>
      <c r="G123">
        <v>0</v>
      </c>
      <c r="H123">
        <v>1</v>
      </c>
      <c r="I123">
        <v>1</v>
      </c>
      <c r="J123">
        <v>5</v>
      </c>
      <c r="K123">
        <v>3.6</v>
      </c>
    </row>
    <row r="124" spans="1:27" x14ac:dyDescent="0.2">
      <c r="A124" t="s">
        <v>11</v>
      </c>
      <c r="B124">
        <v>13</v>
      </c>
      <c r="C124" t="s">
        <v>22</v>
      </c>
      <c r="D124" t="s">
        <v>13</v>
      </c>
      <c r="E124" t="s">
        <v>25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0.75</v>
      </c>
    </row>
    <row r="125" spans="1:27" x14ac:dyDescent="0.2">
      <c r="A125" t="s">
        <v>11</v>
      </c>
      <c r="B125">
        <v>13</v>
      </c>
      <c r="C125" t="s">
        <v>22</v>
      </c>
      <c r="D125" t="s">
        <v>28</v>
      </c>
      <c r="E125" t="s">
        <v>62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0.5</v>
      </c>
    </row>
    <row r="126" spans="1:27" x14ac:dyDescent="0.2">
      <c r="A126" t="s">
        <v>11</v>
      </c>
      <c r="B126">
        <v>13</v>
      </c>
      <c r="C126" t="s">
        <v>17</v>
      </c>
      <c r="D126" t="s">
        <v>13</v>
      </c>
      <c r="E126" t="s">
        <v>41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0.1</v>
      </c>
    </row>
    <row r="127" spans="1:27" x14ac:dyDescent="0.2">
      <c r="A127" t="s">
        <v>11</v>
      </c>
      <c r="B127">
        <v>13</v>
      </c>
      <c r="C127" t="s">
        <v>42</v>
      </c>
      <c r="D127" t="s">
        <v>28</v>
      </c>
      <c r="E127" t="s">
        <v>43</v>
      </c>
      <c r="F127">
        <v>0</v>
      </c>
      <c r="G127">
        <v>3</v>
      </c>
      <c r="H127">
        <v>2</v>
      </c>
      <c r="I127">
        <v>0</v>
      </c>
      <c r="J127">
        <v>5</v>
      </c>
      <c r="K127">
        <v>3.35</v>
      </c>
    </row>
    <row r="128" spans="1:27" x14ac:dyDescent="0.2">
      <c r="A128" t="s">
        <v>11</v>
      </c>
      <c r="B128">
        <v>13</v>
      </c>
      <c r="C128" t="s">
        <v>42</v>
      </c>
      <c r="D128" t="s">
        <v>28</v>
      </c>
      <c r="E128" t="s">
        <v>51</v>
      </c>
      <c r="F128">
        <v>0</v>
      </c>
      <c r="G128">
        <v>0</v>
      </c>
      <c r="H128">
        <v>2</v>
      </c>
      <c r="I128">
        <v>0</v>
      </c>
      <c r="J128">
        <v>2</v>
      </c>
      <c r="K128">
        <v>1</v>
      </c>
    </row>
    <row r="129" spans="1:11" x14ac:dyDescent="0.2">
      <c r="A129" t="s">
        <v>11</v>
      </c>
      <c r="B129">
        <v>13</v>
      </c>
      <c r="C129" t="s">
        <v>42</v>
      </c>
      <c r="D129" t="s">
        <v>13</v>
      </c>
      <c r="E129" t="s">
        <v>35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0.5</v>
      </c>
    </row>
    <row r="130" spans="1:11" x14ac:dyDescent="0.2">
      <c r="A130" t="s">
        <v>11</v>
      </c>
      <c r="B130">
        <v>13</v>
      </c>
      <c r="C130" t="s">
        <v>42</v>
      </c>
      <c r="D130" t="s">
        <v>18</v>
      </c>
      <c r="E130" t="s">
        <v>44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0.5</v>
      </c>
    </row>
    <row r="131" spans="1:11" x14ac:dyDescent="0.2">
      <c r="A131" t="s">
        <v>11</v>
      </c>
      <c r="B131">
        <v>13</v>
      </c>
      <c r="C131" t="s">
        <v>42</v>
      </c>
      <c r="D131" t="s">
        <v>13</v>
      </c>
      <c r="E131" t="s">
        <v>52</v>
      </c>
      <c r="F131">
        <v>1</v>
      </c>
      <c r="G131">
        <v>0</v>
      </c>
      <c r="H131">
        <v>2</v>
      </c>
      <c r="I131">
        <v>0</v>
      </c>
      <c r="J131">
        <v>3</v>
      </c>
      <c r="K131">
        <v>2</v>
      </c>
    </row>
    <row r="132" spans="1:11" x14ac:dyDescent="0.2">
      <c r="A132" t="s">
        <v>11</v>
      </c>
      <c r="B132">
        <v>13</v>
      </c>
      <c r="C132" t="s">
        <v>45</v>
      </c>
      <c r="D132" t="s">
        <v>18</v>
      </c>
      <c r="E132" t="s">
        <v>78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0.5</v>
      </c>
    </row>
    <row r="133" spans="1:11" x14ac:dyDescent="0.2">
      <c r="A133" t="s">
        <v>11</v>
      </c>
      <c r="B133">
        <v>14</v>
      </c>
      <c r="C133" t="s">
        <v>20</v>
      </c>
      <c r="D133" t="s">
        <v>28</v>
      </c>
      <c r="E133" t="s">
        <v>29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0.75</v>
      </c>
    </row>
    <row r="134" spans="1:11" x14ac:dyDescent="0.2">
      <c r="A134" t="s">
        <v>11</v>
      </c>
      <c r="B134">
        <v>14</v>
      </c>
      <c r="C134" t="s">
        <v>20</v>
      </c>
      <c r="D134" t="s">
        <v>18</v>
      </c>
      <c r="E134" t="s">
        <v>57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0.75</v>
      </c>
    </row>
    <row r="135" spans="1:11" x14ac:dyDescent="0.2">
      <c r="A135" t="s">
        <v>11</v>
      </c>
      <c r="B135">
        <v>14</v>
      </c>
      <c r="C135" t="s">
        <v>20</v>
      </c>
      <c r="D135" t="s">
        <v>13</v>
      </c>
      <c r="E135" t="s">
        <v>33</v>
      </c>
      <c r="F135">
        <v>0</v>
      </c>
      <c r="G135">
        <v>3</v>
      </c>
      <c r="H135">
        <v>0</v>
      </c>
      <c r="I135">
        <v>0</v>
      </c>
      <c r="J135">
        <v>3</v>
      </c>
      <c r="K135">
        <v>2.25</v>
      </c>
    </row>
    <row r="136" spans="1:11" x14ac:dyDescent="0.2">
      <c r="A136" t="s">
        <v>11</v>
      </c>
      <c r="B136">
        <v>14</v>
      </c>
      <c r="C136" t="s">
        <v>20</v>
      </c>
      <c r="D136" t="s">
        <v>13</v>
      </c>
      <c r="E136" t="s">
        <v>37</v>
      </c>
      <c r="F136">
        <v>0</v>
      </c>
      <c r="G136">
        <v>0</v>
      </c>
      <c r="H136">
        <v>1</v>
      </c>
      <c r="I136">
        <v>1</v>
      </c>
      <c r="J136">
        <v>2</v>
      </c>
      <c r="K136">
        <v>0.6</v>
      </c>
    </row>
    <row r="137" spans="1:11" x14ac:dyDescent="0.2">
      <c r="A137" t="s">
        <v>11</v>
      </c>
      <c r="B137">
        <v>14</v>
      </c>
      <c r="C137" t="s">
        <v>15</v>
      </c>
      <c r="D137" t="s">
        <v>28</v>
      </c>
      <c r="E137" t="s">
        <v>57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0.75</v>
      </c>
    </row>
    <row r="138" spans="1:11" x14ac:dyDescent="0.2">
      <c r="A138" t="s">
        <v>11</v>
      </c>
      <c r="B138">
        <v>14</v>
      </c>
      <c r="C138" t="s">
        <v>42</v>
      </c>
      <c r="D138" t="s">
        <v>28</v>
      </c>
      <c r="E138" t="s">
        <v>43</v>
      </c>
      <c r="F138">
        <v>0</v>
      </c>
      <c r="G138">
        <v>0</v>
      </c>
      <c r="H138">
        <v>1</v>
      </c>
      <c r="I138">
        <v>1</v>
      </c>
      <c r="J138">
        <v>2</v>
      </c>
      <c r="K138">
        <v>0.6</v>
      </c>
    </row>
    <row r="139" spans="1:11" x14ac:dyDescent="0.2">
      <c r="A139" t="s">
        <v>11</v>
      </c>
      <c r="B139">
        <v>14</v>
      </c>
      <c r="C139" t="s">
        <v>42</v>
      </c>
      <c r="D139" t="s">
        <v>28</v>
      </c>
      <c r="E139" t="s">
        <v>51</v>
      </c>
      <c r="F139">
        <v>0</v>
      </c>
      <c r="G139">
        <v>0</v>
      </c>
      <c r="H139">
        <v>2</v>
      </c>
      <c r="I139">
        <v>0</v>
      </c>
      <c r="J139">
        <v>2</v>
      </c>
      <c r="K139">
        <v>1</v>
      </c>
    </row>
    <row r="140" spans="1:11" x14ac:dyDescent="0.2">
      <c r="A140" t="s">
        <v>11</v>
      </c>
      <c r="B140">
        <v>14</v>
      </c>
      <c r="C140" t="s">
        <v>42</v>
      </c>
      <c r="D140" t="s">
        <v>13</v>
      </c>
      <c r="E140" t="s">
        <v>52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</row>
    <row r="141" spans="1:11" x14ac:dyDescent="0.2">
      <c r="A141" t="s">
        <v>11</v>
      </c>
      <c r="B141">
        <v>14</v>
      </c>
      <c r="C141" t="s">
        <v>42</v>
      </c>
      <c r="D141" t="s">
        <v>13</v>
      </c>
      <c r="E141" t="s">
        <v>56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0.1</v>
      </c>
    </row>
    <row r="142" spans="1:11" x14ac:dyDescent="0.2">
      <c r="A142" t="s">
        <v>11</v>
      </c>
      <c r="B142">
        <v>15</v>
      </c>
      <c r="C142" t="s">
        <v>20</v>
      </c>
      <c r="D142" t="s">
        <v>28</v>
      </c>
      <c r="E142" t="s">
        <v>29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1</v>
      </c>
    </row>
    <row r="143" spans="1:11" x14ac:dyDescent="0.2">
      <c r="A143" t="s">
        <v>11</v>
      </c>
      <c r="B143">
        <v>15</v>
      </c>
      <c r="C143" t="s">
        <v>20</v>
      </c>
      <c r="D143" t="s">
        <v>13</v>
      </c>
      <c r="E143" t="s">
        <v>36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0.1</v>
      </c>
    </row>
    <row r="144" spans="1:11" x14ac:dyDescent="0.2">
      <c r="A144" t="s">
        <v>11</v>
      </c>
      <c r="B144">
        <v>15</v>
      </c>
      <c r="C144" t="s">
        <v>20</v>
      </c>
      <c r="D144" t="s">
        <v>13</v>
      </c>
      <c r="E144" t="s">
        <v>37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1</v>
      </c>
    </row>
    <row r="145" spans="1:11" x14ac:dyDescent="0.2">
      <c r="A145" t="s">
        <v>11</v>
      </c>
      <c r="B145">
        <v>15</v>
      </c>
      <c r="C145" t="s">
        <v>12</v>
      </c>
      <c r="D145" t="s">
        <v>13</v>
      </c>
      <c r="E145" t="s">
        <v>65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0.1</v>
      </c>
    </row>
    <row r="146" spans="1:11" x14ac:dyDescent="0.2">
      <c r="A146" t="s">
        <v>11</v>
      </c>
      <c r="B146">
        <v>15</v>
      </c>
      <c r="C146" t="s">
        <v>22</v>
      </c>
      <c r="D146" t="s">
        <v>13</v>
      </c>
      <c r="E146" t="s">
        <v>65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0.1</v>
      </c>
    </row>
    <row r="147" spans="1:11" x14ac:dyDescent="0.2">
      <c r="A147" t="s">
        <v>11</v>
      </c>
      <c r="B147">
        <v>15</v>
      </c>
      <c r="C147" t="s">
        <v>17</v>
      </c>
      <c r="D147" t="s">
        <v>13</v>
      </c>
      <c r="E147" t="s">
        <v>41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0.1</v>
      </c>
    </row>
    <row r="148" spans="1:11" x14ac:dyDescent="0.2">
      <c r="A148" t="s">
        <v>11</v>
      </c>
      <c r="B148">
        <v>15</v>
      </c>
      <c r="C148" t="s">
        <v>42</v>
      </c>
      <c r="D148" t="s">
        <v>28</v>
      </c>
      <c r="E148" t="s">
        <v>43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0.75</v>
      </c>
    </row>
    <row r="149" spans="1:11" x14ac:dyDescent="0.2">
      <c r="A149" t="s">
        <v>11</v>
      </c>
      <c r="B149">
        <v>15</v>
      </c>
      <c r="C149" t="s">
        <v>45</v>
      </c>
      <c r="D149" t="s">
        <v>13</v>
      </c>
      <c r="E149" t="s">
        <v>79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0.5</v>
      </c>
    </row>
    <row r="150" spans="1:11" x14ac:dyDescent="0.2">
      <c r="A150" t="s">
        <v>11</v>
      </c>
      <c r="B150">
        <v>16</v>
      </c>
      <c r="C150" t="s">
        <v>20</v>
      </c>
      <c r="D150" t="s">
        <v>28</v>
      </c>
      <c r="E150" t="s">
        <v>29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1</v>
      </c>
    </row>
    <row r="151" spans="1:11" x14ac:dyDescent="0.2">
      <c r="A151" t="s">
        <v>11</v>
      </c>
      <c r="B151">
        <v>16</v>
      </c>
      <c r="C151" t="s">
        <v>20</v>
      </c>
      <c r="D151" t="s">
        <v>13</v>
      </c>
      <c r="E151" t="s">
        <v>33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0.75</v>
      </c>
    </row>
    <row r="152" spans="1:11" x14ac:dyDescent="0.2">
      <c r="A152" t="s">
        <v>11</v>
      </c>
      <c r="B152">
        <v>16</v>
      </c>
      <c r="C152" t="s">
        <v>20</v>
      </c>
      <c r="D152" t="s">
        <v>18</v>
      </c>
      <c r="E152" t="s">
        <v>35</v>
      </c>
      <c r="F152">
        <v>0</v>
      </c>
      <c r="G152">
        <v>1</v>
      </c>
      <c r="H152">
        <v>0</v>
      </c>
      <c r="I152">
        <v>1</v>
      </c>
      <c r="J152">
        <v>2</v>
      </c>
      <c r="K152">
        <v>0.85</v>
      </c>
    </row>
    <row r="153" spans="1:11" x14ac:dyDescent="0.2">
      <c r="A153" t="s">
        <v>11</v>
      </c>
      <c r="B153">
        <v>16</v>
      </c>
      <c r="C153" t="s">
        <v>20</v>
      </c>
      <c r="D153" t="s">
        <v>13</v>
      </c>
      <c r="E153" t="s">
        <v>36</v>
      </c>
      <c r="F153">
        <v>0</v>
      </c>
      <c r="G153">
        <v>0</v>
      </c>
      <c r="H153">
        <v>1</v>
      </c>
      <c r="I153">
        <v>1</v>
      </c>
      <c r="J153">
        <v>2</v>
      </c>
      <c r="K153">
        <v>0.6</v>
      </c>
    </row>
    <row r="154" spans="1:11" x14ac:dyDescent="0.2">
      <c r="A154" t="s">
        <v>11</v>
      </c>
      <c r="B154">
        <v>16</v>
      </c>
      <c r="C154" t="s">
        <v>12</v>
      </c>
      <c r="D154" t="s">
        <v>13</v>
      </c>
      <c r="E154" t="s">
        <v>80</v>
      </c>
      <c r="F154">
        <v>0</v>
      </c>
      <c r="G154">
        <v>0</v>
      </c>
      <c r="H154">
        <v>0</v>
      </c>
      <c r="I154">
        <v>3</v>
      </c>
      <c r="J154">
        <v>3</v>
      </c>
      <c r="K154">
        <v>0.3</v>
      </c>
    </row>
    <row r="155" spans="1:11" x14ac:dyDescent="0.2">
      <c r="A155" t="s">
        <v>11</v>
      </c>
      <c r="B155">
        <v>16</v>
      </c>
      <c r="C155" t="s">
        <v>12</v>
      </c>
      <c r="D155" t="s">
        <v>18</v>
      </c>
      <c r="E155" t="s">
        <v>80</v>
      </c>
      <c r="F155">
        <v>0</v>
      </c>
      <c r="G155">
        <v>0</v>
      </c>
      <c r="H155">
        <v>0</v>
      </c>
      <c r="I155">
        <v>3</v>
      </c>
      <c r="J155">
        <v>3</v>
      </c>
      <c r="K155">
        <v>0.3</v>
      </c>
    </row>
    <row r="156" spans="1:11" x14ac:dyDescent="0.2">
      <c r="A156" t="s">
        <v>11</v>
      </c>
      <c r="B156">
        <v>16</v>
      </c>
      <c r="C156" t="s">
        <v>22</v>
      </c>
      <c r="D156" t="s">
        <v>13</v>
      </c>
      <c r="E156" t="s">
        <v>54</v>
      </c>
      <c r="F156">
        <v>0</v>
      </c>
      <c r="G156">
        <v>0</v>
      </c>
      <c r="H156">
        <v>1</v>
      </c>
      <c r="I156">
        <v>2</v>
      </c>
      <c r="J156">
        <v>3</v>
      </c>
      <c r="K156">
        <v>0.7</v>
      </c>
    </row>
    <row r="157" spans="1:11" x14ac:dyDescent="0.2">
      <c r="A157" t="s">
        <v>11</v>
      </c>
      <c r="B157">
        <v>16</v>
      </c>
      <c r="C157" t="s">
        <v>42</v>
      </c>
      <c r="D157" t="s">
        <v>13</v>
      </c>
      <c r="E157" t="s">
        <v>70</v>
      </c>
      <c r="F157">
        <v>0</v>
      </c>
      <c r="G157">
        <v>0</v>
      </c>
      <c r="H157">
        <v>1</v>
      </c>
      <c r="I157">
        <v>2</v>
      </c>
      <c r="J157">
        <v>3</v>
      </c>
      <c r="K157">
        <v>0.8</v>
      </c>
    </row>
    <row r="158" spans="1:11" x14ac:dyDescent="0.2">
      <c r="A158" t="s">
        <v>11</v>
      </c>
      <c r="B158">
        <v>16</v>
      </c>
      <c r="C158" t="s">
        <v>42</v>
      </c>
      <c r="D158" t="s">
        <v>13</v>
      </c>
      <c r="E158" t="s">
        <v>35</v>
      </c>
      <c r="F158">
        <v>0</v>
      </c>
      <c r="G158">
        <v>1</v>
      </c>
      <c r="H158">
        <v>0</v>
      </c>
      <c r="I158">
        <v>1</v>
      </c>
      <c r="J158">
        <v>2</v>
      </c>
      <c r="K158">
        <v>0.85</v>
      </c>
    </row>
    <row r="159" spans="1:11" x14ac:dyDescent="0.2">
      <c r="A159" t="s">
        <v>11</v>
      </c>
      <c r="B159">
        <v>16</v>
      </c>
      <c r="C159" t="s">
        <v>42</v>
      </c>
      <c r="D159" t="s">
        <v>18</v>
      </c>
      <c r="E159" t="s">
        <v>44</v>
      </c>
      <c r="F159">
        <v>0</v>
      </c>
      <c r="G159">
        <v>1</v>
      </c>
      <c r="H159">
        <v>0</v>
      </c>
      <c r="I159">
        <v>1</v>
      </c>
      <c r="J159">
        <v>2</v>
      </c>
      <c r="K159">
        <v>0.85</v>
      </c>
    </row>
    <row r="160" spans="1:11" x14ac:dyDescent="0.2">
      <c r="A160" t="s">
        <v>11</v>
      </c>
      <c r="B160">
        <v>16</v>
      </c>
      <c r="C160" t="s">
        <v>45</v>
      </c>
      <c r="D160" t="s">
        <v>13</v>
      </c>
      <c r="E160" t="s">
        <v>79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0.5</v>
      </c>
    </row>
    <row r="161" spans="1:11" x14ac:dyDescent="0.2">
      <c r="A161" t="s">
        <v>11</v>
      </c>
      <c r="B161">
        <v>17</v>
      </c>
      <c r="C161" t="s">
        <v>20</v>
      </c>
      <c r="D161" t="s">
        <v>18</v>
      </c>
      <c r="E161" t="s">
        <v>57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0.5</v>
      </c>
    </row>
    <row r="162" spans="1:11" x14ac:dyDescent="0.2">
      <c r="A162" t="s">
        <v>11</v>
      </c>
      <c r="B162">
        <v>17</v>
      </c>
      <c r="C162" t="s">
        <v>20</v>
      </c>
      <c r="D162" t="s">
        <v>13</v>
      </c>
      <c r="E162" t="s">
        <v>81</v>
      </c>
      <c r="F162">
        <v>0</v>
      </c>
      <c r="G162">
        <v>1</v>
      </c>
      <c r="H162">
        <v>1</v>
      </c>
      <c r="I162">
        <v>0</v>
      </c>
      <c r="J162">
        <v>2</v>
      </c>
      <c r="K162">
        <v>1.25</v>
      </c>
    </row>
    <row r="163" spans="1:11" x14ac:dyDescent="0.2">
      <c r="A163" t="s">
        <v>11</v>
      </c>
      <c r="B163">
        <v>17</v>
      </c>
      <c r="C163" t="s">
        <v>20</v>
      </c>
      <c r="D163" t="s">
        <v>13</v>
      </c>
      <c r="E163" t="s">
        <v>37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0.1</v>
      </c>
    </row>
    <row r="164" spans="1:11" x14ac:dyDescent="0.2">
      <c r="A164" t="s">
        <v>11</v>
      </c>
      <c r="B164">
        <v>17</v>
      </c>
      <c r="C164" t="s">
        <v>15</v>
      </c>
      <c r="D164" t="s">
        <v>28</v>
      </c>
      <c r="E164" t="s">
        <v>57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0.5</v>
      </c>
    </row>
    <row r="165" spans="1:11" x14ac:dyDescent="0.2">
      <c r="A165" t="s">
        <v>11</v>
      </c>
      <c r="B165">
        <v>17</v>
      </c>
      <c r="C165" t="s">
        <v>15</v>
      </c>
      <c r="D165" t="s">
        <v>13</v>
      </c>
      <c r="E165" t="s">
        <v>81</v>
      </c>
      <c r="F165">
        <v>0</v>
      </c>
      <c r="G165">
        <v>1</v>
      </c>
      <c r="H165">
        <v>1</v>
      </c>
      <c r="I165">
        <v>0</v>
      </c>
      <c r="J165">
        <v>2</v>
      </c>
      <c r="K165">
        <v>1.25</v>
      </c>
    </row>
    <row r="166" spans="1:11" x14ac:dyDescent="0.2">
      <c r="A166" t="s">
        <v>11</v>
      </c>
      <c r="B166">
        <v>17</v>
      </c>
      <c r="C166" t="s">
        <v>22</v>
      </c>
      <c r="D166" t="s">
        <v>13</v>
      </c>
      <c r="E166" t="s">
        <v>81</v>
      </c>
      <c r="F166">
        <v>0</v>
      </c>
      <c r="G166">
        <v>1</v>
      </c>
      <c r="H166">
        <v>1</v>
      </c>
      <c r="I166">
        <v>0</v>
      </c>
      <c r="J166">
        <v>2</v>
      </c>
      <c r="K166">
        <v>1.25</v>
      </c>
    </row>
    <row r="167" spans="1:11" x14ac:dyDescent="0.2">
      <c r="A167" t="s">
        <v>11</v>
      </c>
      <c r="B167">
        <v>17</v>
      </c>
      <c r="C167" t="s">
        <v>42</v>
      </c>
      <c r="D167" t="s">
        <v>28</v>
      </c>
      <c r="E167" t="s">
        <v>43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0.1</v>
      </c>
    </row>
    <row r="168" spans="1:11" x14ac:dyDescent="0.2">
      <c r="A168" t="s">
        <v>11</v>
      </c>
      <c r="B168">
        <v>17</v>
      </c>
      <c r="C168" t="s">
        <v>42</v>
      </c>
      <c r="D168" t="s">
        <v>13</v>
      </c>
      <c r="E168" t="s">
        <v>81</v>
      </c>
      <c r="F168">
        <v>0</v>
      </c>
      <c r="G168">
        <v>1</v>
      </c>
      <c r="H168">
        <v>1</v>
      </c>
      <c r="I168">
        <v>0</v>
      </c>
      <c r="J168">
        <v>2</v>
      </c>
      <c r="K168">
        <v>1.25</v>
      </c>
    </row>
    <row r="169" spans="1:11" x14ac:dyDescent="0.2">
      <c r="A169" t="s">
        <v>11</v>
      </c>
      <c r="B169">
        <v>17</v>
      </c>
      <c r="C169" t="s">
        <v>42</v>
      </c>
      <c r="D169" t="s">
        <v>13</v>
      </c>
      <c r="E169" t="s">
        <v>70</v>
      </c>
      <c r="F169">
        <v>2</v>
      </c>
      <c r="G169">
        <v>0</v>
      </c>
      <c r="H169">
        <v>0</v>
      </c>
      <c r="I169">
        <v>0</v>
      </c>
      <c r="J169">
        <v>2</v>
      </c>
      <c r="K169">
        <v>2</v>
      </c>
    </row>
    <row r="170" spans="1:11" x14ac:dyDescent="0.2">
      <c r="A170" t="s">
        <v>11</v>
      </c>
      <c r="B170">
        <v>18</v>
      </c>
      <c r="C170" t="s">
        <v>20</v>
      </c>
      <c r="D170" t="s">
        <v>18</v>
      </c>
      <c r="E170" t="s">
        <v>21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0.75</v>
      </c>
    </row>
    <row r="171" spans="1:11" x14ac:dyDescent="0.2">
      <c r="A171" t="s">
        <v>11</v>
      </c>
      <c r="B171">
        <v>18</v>
      </c>
      <c r="C171" t="s">
        <v>20</v>
      </c>
      <c r="D171" t="s">
        <v>13</v>
      </c>
      <c r="E171" t="s">
        <v>37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0.1</v>
      </c>
    </row>
    <row r="172" spans="1:11" x14ac:dyDescent="0.2">
      <c r="A172" t="s">
        <v>11</v>
      </c>
      <c r="B172">
        <v>18</v>
      </c>
      <c r="C172" t="s">
        <v>42</v>
      </c>
      <c r="D172" t="s">
        <v>28</v>
      </c>
      <c r="E172" t="s">
        <v>43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0.6</v>
      </c>
    </row>
    <row r="173" spans="1:11" x14ac:dyDescent="0.2">
      <c r="A173" t="s">
        <v>11</v>
      </c>
      <c r="B173">
        <v>19</v>
      </c>
      <c r="C173" t="s">
        <v>20</v>
      </c>
      <c r="D173" t="s">
        <v>28</v>
      </c>
      <c r="E173" t="s">
        <v>29</v>
      </c>
      <c r="F173">
        <v>0</v>
      </c>
      <c r="G173">
        <v>0</v>
      </c>
      <c r="H173">
        <v>2</v>
      </c>
      <c r="I173">
        <v>1</v>
      </c>
      <c r="J173">
        <v>3</v>
      </c>
      <c r="K173">
        <v>1.1000000000000001</v>
      </c>
    </row>
    <row r="174" spans="1:11" x14ac:dyDescent="0.2">
      <c r="A174" t="s">
        <v>11</v>
      </c>
      <c r="B174">
        <v>19</v>
      </c>
      <c r="C174" t="s">
        <v>22</v>
      </c>
      <c r="D174" t="s">
        <v>13</v>
      </c>
      <c r="E174" t="s">
        <v>54</v>
      </c>
      <c r="F174">
        <v>0</v>
      </c>
      <c r="G174">
        <v>0</v>
      </c>
      <c r="H174">
        <v>0</v>
      </c>
      <c r="I174">
        <v>2</v>
      </c>
      <c r="J174">
        <v>2</v>
      </c>
      <c r="K174">
        <v>0.2</v>
      </c>
    </row>
    <row r="175" spans="1:11" x14ac:dyDescent="0.2">
      <c r="A175" t="s">
        <v>11</v>
      </c>
      <c r="B175">
        <v>19</v>
      </c>
      <c r="C175" t="s">
        <v>22</v>
      </c>
      <c r="D175" t="s">
        <v>13</v>
      </c>
      <c r="E175" t="s">
        <v>55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1</v>
      </c>
    </row>
    <row r="176" spans="1:11" x14ac:dyDescent="0.2">
      <c r="A176" t="s">
        <v>11</v>
      </c>
      <c r="B176">
        <v>19</v>
      </c>
      <c r="C176" t="s">
        <v>17</v>
      </c>
      <c r="D176" t="s">
        <v>18</v>
      </c>
      <c r="E176" t="s">
        <v>82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0.1</v>
      </c>
    </row>
    <row r="177" spans="1:11" x14ac:dyDescent="0.2">
      <c r="A177" t="s">
        <v>11</v>
      </c>
      <c r="B177">
        <v>19</v>
      </c>
      <c r="C177" t="s">
        <v>45</v>
      </c>
      <c r="D177" t="s">
        <v>13</v>
      </c>
      <c r="E177" t="s">
        <v>83</v>
      </c>
      <c r="F177">
        <v>1</v>
      </c>
      <c r="G177">
        <v>0</v>
      </c>
      <c r="H177">
        <v>2</v>
      </c>
      <c r="I177">
        <v>0</v>
      </c>
      <c r="J177">
        <v>3</v>
      </c>
      <c r="K177">
        <v>2</v>
      </c>
    </row>
    <row r="178" spans="1:11" x14ac:dyDescent="0.2">
      <c r="A178" t="s">
        <v>11</v>
      </c>
      <c r="B178">
        <v>19</v>
      </c>
      <c r="C178" t="s">
        <v>45</v>
      </c>
      <c r="D178" t="s">
        <v>13</v>
      </c>
      <c r="E178" t="s">
        <v>84</v>
      </c>
      <c r="F178">
        <v>0</v>
      </c>
      <c r="G178">
        <v>1</v>
      </c>
      <c r="H178">
        <v>3</v>
      </c>
      <c r="I178">
        <v>2</v>
      </c>
      <c r="J178">
        <v>6</v>
      </c>
      <c r="K178">
        <v>2.4500000000000002</v>
      </c>
    </row>
    <row r="179" spans="1:11" x14ac:dyDescent="0.2">
      <c r="A179" t="s">
        <v>11</v>
      </c>
      <c r="B179">
        <v>19</v>
      </c>
      <c r="C179" t="s">
        <v>45</v>
      </c>
      <c r="D179" t="s">
        <v>13</v>
      </c>
      <c r="E179" t="s">
        <v>85</v>
      </c>
      <c r="F179">
        <v>0</v>
      </c>
      <c r="G179">
        <v>0</v>
      </c>
      <c r="H179">
        <v>3</v>
      </c>
      <c r="I179">
        <v>0</v>
      </c>
      <c r="J179">
        <v>3</v>
      </c>
      <c r="K179">
        <v>1.5</v>
      </c>
    </row>
    <row r="180" spans="1:11" x14ac:dyDescent="0.2">
      <c r="A180" t="s">
        <v>11</v>
      </c>
      <c r="B180">
        <v>19</v>
      </c>
      <c r="C180" t="s">
        <v>45</v>
      </c>
      <c r="D180" t="s">
        <v>18</v>
      </c>
      <c r="E180" t="s">
        <v>85</v>
      </c>
      <c r="F180">
        <v>0</v>
      </c>
      <c r="G180">
        <v>0</v>
      </c>
      <c r="H180">
        <v>3</v>
      </c>
      <c r="I180">
        <v>0</v>
      </c>
      <c r="J180">
        <v>3</v>
      </c>
      <c r="K180">
        <v>1.5</v>
      </c>
    </row>
    <row r="181" spans="1:11" x14ac:dyDescent="0.2">
      <c r="A181" t="s">
        <v>11</v>
      </c>
      <c r="B181">
        <v>19</v>
      </c>
      <c r="C181" t="s">
        <v>45</v>
      </c>
      <c r="D181" t="s">
        <v>13</v>
      </c>
      <c r="E181" t="s">
        <v>86</v>
      </c>
      <c r="F181">
        <v>0</v>
      </c>
      <c r="G181">
        <v>0</v>
      </c>
      <c r="H181">
        <v>2</v>
      </c>
      <c r="I181">
        <v>0</v>
      </c>
      <c r="J181">
        <v>2</v>
      </c>
      <c r="K181">
        <v>1</v>
      </c>
    </row>
    <row r="182" spans="1:11" x14ac:dyDescent="0.2">
      <c r="A182" t="s">
        <v>11</v>
      </c>
      <c r="B182">
        <v>19</v>
      </c>
      <c r="C182" t="s">
        <v>45</v>
      </c>
      <c r="D182" t="s">
        <v>18</v>
      </c>
      <c r="E182" t="s">
        <v>86</v>
      </c>
      <c r="F182">
        <v>0</v>
      </c>
      <c r="G182">
        <v>0</v>
      </c>
      <c r="H182">
        <v>2</v>
      </c>
      <c r="I182">
        <v>0</v>
      </c>
      <c r="J182">
        <v>2</v>
      </c>
      <c r="K182">
        <v>1</v>
      </c>
    </row>
    <row r="183" spans="1:11" x14ac:dyDescent="0.2">
      <c r="A183" t="s">
        <v>11</v>
      </c>
      <c r="B183">
        <v>20</v>
      </c>
      <c r="C183" t="s">
        <v>20</v>
      </c>
      <c r="D183" t="s">
        <v>28</v>
      </c>
      <c r="E183" t="s">
        <v>29</v>
      </c>
      <c r="F183">
        <v>0</v>
      </c>
      <c r="G183">
        <v>0</v>
      </c>
      <c r="H183">
        <v>2</v>
      </c>
      <c r="I183">
        <v>0</v>
      </c>
      <c r="J183">
        <v>2</v>
      </c>
      <c r="K183">
        <v>1</v>
      </c>
    </row>
    <row r="184" spans="1:11" x14ac:dyDescent="0.2">
      <c r="A184" t="s">
        <v>11</v>
      </c>
      <c r="B184">
        <v>20</v>
      </c>
      <c r="C184" t="s">
        <v>20</v>
      </c>
      <c r="D184" t="s">
        <v>13</v>
      </c>
      <c r="E184" t="s">
        <v>81</v>
      </c>
      <c r="F184">
        <v>1</v>
      </c>
      <c r="G184">
        <v>0</v>
      </c>
      <c r="H184">
        <v>1</v>
      </c>
      <c r="I184">
        <v>0</v>
      </c>
      <c r="J184">
        <v>2</v>
      </c>
      <c r="K184">
        <v>1.5</v>
      </c>
    </row>
    <row r="185" spans="1:11" x14ac:dyDescent="0.2">
      <c r="A185" t="s">
        <v>11</v>
      </c>
      <c r="B185">
        <v>20</v>
      </c>
      <c r="C185" t="s">
        <v>12</v>
      </c>
      <c r="D185" t="s">
        <v>13</v>
      </c>
      <c r="E185" t="s">
        <v>65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0.5</v>
      </c>
    </row>
    <row r="186" spans="1:11" x14ac:dyDescent="0.2">
      <c r="A186" t="s">
        <v>11</v>
      </c>
      <c r="B186">
        <v>20</v>
      </c>
      <c r="C186" t="s">
        <v>12</v>
      </c>
      <c r="D186" t="s">
        <v>13</v>
      </c>
      <c r="E186" t="s">
        <v>66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0.5</v>
      </c>
    </row>
    <row r="187" spans="1:11" x14ac:dyDescent="0.2">
      <c r="A187" t="s">
        <v>11</v>
      </c>
      <c r="B187">
        <v>20</v>
      </c>
      <c r="C187" t="s">
        <v>15</v>
      </c>
      <c r="D187" t="s">
        <v>13</v>
      </c>
      <c r="E187" t="s">
        <v>81</v>
      </c>
      <c r="F187">
        <v>1</v>
      </c>
      <c r="G187">
        <v>0</v>
      </c>
      <c r="H187">
        <v>1</v>
      </c>
      <c r="I187">
        <v>0</v>
      </c>
      <c r="J187">
        <v>2</v>
      </c>
      <c r="K187">
        <v>1.5</v>
      </c>
    </row>
    <row r="188" spans="1:11" x14ac:dyDescent="0.2">
      <c r="A188" t="s">
        <v>11</v>
      </c>
      <c r="B188">
        <v>20</v>
      </c>
      <c r="C188" t="s">
        <v>15</v>
      </c>
      <c r="D188" t="s">
        <v>13</v>
      </c>
      <c r="E188" t="s">
        <v>16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0.5</v>
      </c>
    </row>
    <row r="189" spans="1:11" x14ac:dyDescent="0.2">
      <c r="A189" t="s">
        <v>11</v>
      </c>
      <c r="B189">
        <v>20</v>
      </c>
      <c r="C189" t="s">
        <v>22</v>
      </c>
      <c r="D189" t="s">
        <v>13</v>
      </c>
      <c r="E189" t="s">
        <v>54</v>
      </c>
      <c r="F189">
        <v>0</v>
      </c>
      <c r="G189">
        <v>0</v>
      </c>
      <c r="H189">
        <v>0</v>
      </c>
      <c r="I189">
        <v>5</v>
      </c>
      <c r="J189">
        <v>5</v>
      </c>
      <c r="K189">
        <v>0.5</v>
      </c>
    </row>
    <row r="190" spans="1:11" x14ac:dyDescent="0.2">
      <c r="A190" t="s">
        <v>11</v>
      </c>
      <c r="B190">
        <v>20</v>
      </c>
      <c r="C190" t="s">
        <v>22</v>
      </c>
      <c r="D190" t="s">
        <v>13</v>
      </c>
      <c r="E190" t="s">
        <v>25</v>
      </c>
      <c r="F190">
        <v>0</v>
      </c>
      <c r="G190">
        <v>0</v>
      </c>
      <c r="H190">
        <v>2</v>
      </c>
      <c r="I190">
        <v>0</v>
      </c>
      <c r="J190">
        <v>2</v>
      </c>
      <c r="K190">
        <v>1</v>
      </c>
    </row>
    <row r="191" spans="1:11" x14ac:dyDescent="0.2">
      <c r="A191" t="s">
        <v>11</v>
      </c>
      <c r="B191">
        <v>20</v>
      </c>
      <c r="C191" t="s">
        <v>22</v>
      </c>
      <c r="D191" t="s">
        <v>13</v>
      </c>
      <c r="E191" t="s">
        <v>65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0.5</v>
      </c>
    </row>
    <row r="192" spans="1:11" x14ac:dyDescent="0.2">
      <c r="A192" t="s">
        <v>11</v>
      </c>
      <c r="B192">
        <v>20</v>
      </c>
      <c r="C192" t="s">
        <v>22</v>
      </c>
      <c r="D192" t="s">
        <v>13</v>
      </c>
      <c r="E192" t="s">
        <v>81</v>
      </c>
      <c r="F192">
        <v>1</v>
      </c>
      <c r="G192">
        <v>0</v>
      </c>
      <c r="H192">
        <v>1</v>
      </c>
      <c r="I192">
        <v>0</v>
      </c>
      <c r="J192">
        <v>2</v>
      </c>
      <c r="K192">
        <v>1.5</v>
      </c>
    </row>
    <row r="193" spans="1:11" x14ac:dyDescent="0.2">
      <c r="A193" t="s">
        <v>11</v>
      </c>
      <c r="B193">
        <v>20</v>
      </c>
      <c r="C193" t="s">
        <v>17</v>
      </c>
      <c r="D193" t="s">
        <v>13</v>
      </c>
      <c r="E193" t="s">
        <v>59</v>
      </c>
      <c r="F193">
        <v>0</v>
      </c>
      <c r="G193">
        <v>0</v>
      </c>
      <c r="H193">
        <v>2</v>
      </c>
      <c r="I193">
        <v>0</v>
      </c>
      <c r="J193">
        <v>2</v>
      </c>
      <c r="K193">
        <v>1</v>
      </c>
    </row>
    <row r="194" spans="1:11" x14ac:dyDescent="0.2">
      <c r="A194" t="s">
        <v>11</v>
      </c>
      <c r="B194">
        <v>20</v>
      </c>
      <c r="C194" t="s">
        <v>17</v>
      </c>
      <c r="D194" t="s">
        <v>18</v>
      </c>
      <c r="E194" t="s">
        <v>19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0.6</v>
      </c>
    </row>
    <row r="195" spans="1:11" x14ac:dyDescent="0.2">
      <c r="A195" t="s">
        <v>11</v>
      </c>
      <c r="B195">
        <v>20</v>
      </c>
      <c r="C195" t="s">
        <v>17</v>
      </c>
      <c r="D195" t="s">
        <v>13</v>
      </c>
      <c r="E195" t="s">
        <v>66</v>
      </c>
      <c r="F195">
        <v>0</v>
      </c>
      <c r="G195">
        <v>0</v>
      </c>
      <c r="H195">
        <v>1</v>
      </c>
      <c r="I195">
        <v>0</v>
      </c>
      <c r="J195">
        <v>1</v>
      </c>
      <c r="K195">
        <v>0.5</v>
      </c>
    </row>
    <row r="196" spans="1:11" x14ac:dyDescent="0.2">
      <c r="A196" t="s">
        <v>11</v>
      </c>
      <c r="B196">
        <v>20</v>
      </c>
      <c r="C196" t="s">
        <v>17</v>
      </c>
      <c r="D196" t="s">
        <v>13</v>
      </c>
      <c r="E196" t="s">
        <v>87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</row>
    <row r="197" spans="1:11" x14ac:dyDescent="0.2">
      <c r="A197" t="s">
        <v>11</v>
      </c>
      <c r="B197">
        <v>20</v>
      </c>
      <c r="C197" t="s">
        <v>17</v>
      </c>
      <c r="D197" t="s">
        <v>18</v>
      </c>
      <c r="E197" t="s">
        <v>87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</row>
    <row r="198" spans="1:11" x14ac:dyDescent="0.2">
      <c r="A198" t="s">
        <v>11</v>
      </c>
      <c r="B198">
        <v>20</v>
      </c>
      <c r="C198" t="s">
        <v>42</v>
      </c>
      <c r="D198" t="s">
        <v>13</v>
      </c>
      <c r="E198" t="s">
        <v>81</v>
      </c>
      <c r="F198">
        <v>1</v>
      </c>
      <c r="G198">
        <v>0</v>
      </c>
      <c r="H198">
        <v>1</v>
      </c>
      <c r="I198">
        <v>0</v>
      </c>
      <c r="J198">
        <v>2</v>
      </c>
      <c r="K198">
        <v>1.5</v>
      </c>
    </row>
    <row r="199" spans="1:11" x14ac:dyDescent="0.2">
      <c r="A199" t="s">
        <v>11</v>
      </c>
      <c r="B199">
        <v>20</v>
      </c>
      <c r="C199" t="s">
        <v>42</v>
      </c>
      <c r="D199" t="s">
        <v>13</v>
      </c>
      <c r="E199" t="s">
        <v>88</v>
      </c>
      <c r="F199">
        <v>3</v>
      </c>
      <c r="G199">
        <v>0</v>
      </c>
      <c r="H199">
        <v>0</v>
      </c>
      <c r="I199">
        <v>0</v>
      </c>
      <c r="J199">
        <v>3</v>
      </c>
      <c r="K199">
        <v>3</v>
      </c>
    </row>
    <row r="200" spans="1:11" x14ac:dyDescent="0.2">
      <c r="A200" t="s">
        <v>11</v>
      </c>
      <c r="B200">
        <v>20</v>
      </c>
      <c r="C200" t="s">
        <v>45</v>
      </c>
      <c r="D200" t="s">
        <v>13</v>
      </c>
      <c r="E200" t="s">
        <v>79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0.5</v>
      </c>
    </row>
    <row r="201" spans="1:11" x14ac:dyDescent="0.2">
      <c r="A201" t="s">
        <v>11</v>
      </c>
      <c r="B201">
        <v>21</v>
      </c>
      <c r="C201" t="s">
        <v>20</v>
      </c>
      <c r="D201" t="s">
        <v>18</v>
      </c>
      <c r="E201" t="s">
        <v>21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0.75</v>
      </c>
    </row>
    <row r="202" spans="1:11" x14ac:dyDescent="0.2">
      <c r="A202" t="s">
        <v>11</v>
      </c>
      <c r="B202">
        <v>21</v>
      </c>
      <c r="C202" t="s">
        <v>20</v>
      </c>
      <c r="D202" t="s">
        <v>13</v>
      </c>
      <c r="E202" t="s">
        <v>27</v>
      </c>
      <c r="F202">
        <v>1</v>
      </c>
      <c r="G202">
        <v>0</v>
      </c>
      <c r="H202">
        <v>1</v>
      </c>
      <c r="I202">
        <v>0</v>
      </c>
      <c r="J202">
        <v>2</v>
      </c>
      <c r="K202">
        <v>1.5</v>
      </c>
    </row>
    <row r="203" spans="1:11" x14ac:dyDescent="0.2">
      <c r="A203" t="s">
        <v>11</v>
      </c>
      <c r="B203">
        <v>21</v>
      </c>
      <c r="C203" t="s">
        <v>20</v>
      </c>
      <c r="D203" t="s">
        <v>18</v>
      </c>
      <c r="E203" t="s">
        <v>27</v>
      </c>
      <c r="F203">
        <v>1</v>
      </c>
      <c r="G203">
        <v>0</v>
      </c>
      <c r="H203">
        <v>1</v>
      </c>
      <c r="I203">
        <v>0</v>
      </c>
      <c r="J203">
        <v>2</v>
      </c>
      <c r="K203">
        <v>1.5</v>
      </c>
    </row>
    <row r="204" spans="1:11" x14ac:dyDescent="0.2">
      <c r="A204" t="s">
        <v>11</v>
      </c>
      <c r="B204">
        <v>21</v>
      </c>
      <c r="C204" t="s">
        <v>20</v>
      </c>
      <c r="D204" t="s">
        <v>28</v>
      </c>
      <c r="E204" t="s">
        <v>29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0.75</v>
      </c>
    </row>
    <row r="205" spans="1:11" x14ac:dyDescent="0.2">
      <c r="A205" t="s">
        <v>11</v>
      </c>
      <c r="B205">
        <v>21</v>
      </c>
      <c r="C205" t="s">
        <v>20</v>
      </c>
      <c r="D205" t="s">
        <v>18</v>
      </c>
      <c r="E205" t="s">
        <v>57</v>
      </c>
      <c r="F205">
        <v>0</v>
      </c>
      <c r="G205">
        <v>1</v>
      </c>
      <c r="H205">
        <v>0</v>
      </c>
      <c r="I205">
        <v>2</v>
      </c>
      <c r="J205">
        <v>3</v>
      </c>
      <c r="K205">
        <v>0.95</v>
      </c>
    </row>
    <row r="206" spans="1:11" x14ac:dyDescent="0.2">
      <c r="A206" t="s">
        <v>11</v>
      </c>
      <c r="B206">
        <v>21</v>
      </c>
      <c r="C206" t="s">
        <v>20</v>
      </c>
      <c r="D206" t="s">
        <v>13</v>
      </c>
      <c r="E206" t="s">
        <v>89</v>
      </c>
      <c r="F206">
        <v>2</v>
      </c>
      <c r="G206">
        <v>0</v>
      </c>
      <c r="H206">
        <v>3</v>
      </c>
      <c r="I206">
        <v>0</v>
      </c>
      <c r="J206">
        <v>5</v>
      </c>
      <c r="K206">
        <v>3.5</v>
      </c>
    </row>
    <row r="207" spans="1:11" x14ac:dyDescent="0.2">
      <c r="A207" t="s">
        <v>11</v>
      </c>
      <c r="B207">
        <v>21</v>
      </c>
      <c r="C207" t="s">
        <v>20</v>
      </c>
      <c r="D207" t="s">
        <v>18</v>
      </c>
      <c r="E207" t="s">
        <v>35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0.75</v>
      </c>
    </row>
    <row r="208" spans="1:11" x14ac:dyDescent="0.2">
      <c r="A208" t="s">
        <v>11</v>
      </c>
      <c r="B208">
        <v>21</v>
      </c>
      <c r="C208" t="s">
        <v>20</v>
      </c>
      <c r="D208" t="s">
        <v>13</v>
      </c>
      <c r="E208" t="s">
        <v>37</v>
      </c>
      <c r="F208">
        <v>0</v>
      </c>
      <c r="G208">
        <v>0</v>
      </c>
      <c r="H208">
        <v>0</v>
      </c>
      <c r="I208">
        <v>2</v>
      </c>
      <c r="J208">
        <v>2</v>
      </c>
      <c r="K208">
        <v>0.2</v>
      </c>
    </row>
    <row r="209" spans="1:11" x14ac:dyDescent="0.2">
      <c r="A209" t="s">
        <v>11</v>
      </c>
      <c r="B209">
        <v>21</v>
      </c>
      <c r="C209" t="s">
        <v>15</v>
      </c>
      <c r="D209" t="s">
        <v>28</v>
      </c>
      <c r="E209" t="s">
        <v>90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1</v>
      </c>
    </row>
    <row r="210" spans="1:11" x14ac:dyDescent="0.2">
      <c r="A210" t="s">
        <v>11</v>
      </c>
      <c r="B210">
        <v>21</v>
      </c>
      <c r="C210" t="s">
        <v>15</v>
      </c>
      <c r="D210" t="s">
        <v>28</v>
      </c>
      <c r="E210" t="s">
        <v>57</v>
      </c>
      <c r="F210">
        <v>0</v>
      </c>
      <c r="G210">
        <v>1</v>
      </c>
      <c r="H210">
        <v>0</v>
      </c>
      <c r="I210">
        <v>2</v>
      </c>
      <c r="J210">
        <v>3</v>
      </c>
      <c r="K210">
        <v>0.95</v>
      </c>
    </row>
    <row r="211" spans="1:11" x14ac:dyDescent="0.2">
      <c r="A211" t="s">
        <v>11</v>
      </c>
      <c r="B211">
        <v>21</v>
      </c>
      <c r="C211" t="s">
        <v>15</v>
      </c>
      <c r="D211" t="s">
        <v>13</v>
      </c>
      <c r="E211" t="s">
        <v>39</v>
      </c>
      <c r="F211">
        <v>0</v>
      </c>
      <c r="G211">
        <v>0</v>
      </c>
      <c r="H211">
        <v>2</v>
      </c>
      <c r="I211">
        <v>0</v>
      </c>
      <c r="J211">
        <v>2</v>
      </c>
      <c r="K211">
        <v>1</v>
      </c>
    </row>
    <row r="212" spans="1:11" x14ac:dyDescent="0.2">
      <c r="A212" t="s">
        <v>11</v>
      </c>
      <c r="B212">
        <v>21</v>
      </c>
      <c r="C212" t="s">
        <v>22</v>
      </c>
      <c r="D212" t="s">
        <v>13</v>
      </c>
      <c r="E212" t="s">
        <v>25</v>
      </c>
      <c r="F212">
        <v>0</v>
      </c>
      <c r="G212">
        <v>2</v>
      </c>
      <c r="H212">
        <v>2</v>
      </c>
      <c r="I212">
        <v>0</v>
      </c>
      <c r="J212">
        <v>4</v>
      </c>
      <c r="K212">
        <v>2.5</v>
      </c>
    </row>
    <row r="213" spans="1:11" x14ac:dyDescent="0.2">
      <c r="A213" t="s">
        <v>11</v>
      </c>
      <c r="B213">
        <v>21</v>
      </c>
      <c r="C213" t="s">
        <v>22</v>
      </c>
      <c r="D213" t="s">
        <v>18</v>
      </c>
      <c r="E213" t="s">
        <v>63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0.5</v>
      </c>
    </row>
    <row r="214" spans="1:11" x14ac:dyDescent="0.2">
      <c r="A214" t="s">
        <v>11</v>
      </c>
      <c r="B214">
        <v>21</v>
      </c>
      <c r="C214" t="s">
        <v>17</v>
      </c>
      <c r="D214" t="s">
        <v>13</v>
      </c>
      <c r="E214" t="s">
        <v>41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0.1</v>
      </c>
    </row>
    <row r="215" spans="1:11" x14ac:dyDescent="0.2">
      <c r="A215" t="s">
        <v>11</v>
      </c>
      <c r="B215">
        <v>21</v>
      </c>
      <c r="C215" t="s">
        <v>42</v>
      </c>
      <c r="D215" t="s">
        <v>13</v>
      </c>
      <c r="E215" t="s">
        <v>50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0.1</v>
      </c>
    </row>
    <row r="216" spans="1:11" x14ac:dyDescent="0.2">
      <c r="A216" t="s">
        <v>11</v>
      </c>
      <c r="B216">
        <v>21</v>
      </c>
      <c r="C216" t="s">
        <v>42</v>
      </c>
      <c r="D216" t="s">
        <v>28</v>
      </c>
      <c r="E216" t="s">
        <v>43</v>
      </c>
      <c r="F216">
        <v>0</v>
      </c>
      <c r="G216">
        <v>0</v>
      </c>
      <c r="H216">
        <v>2</v>
      </c>
      <c r="I216">
        <v>0</v>
      </c>
      <c r="J216">
        <v>2</v>
      </c>
      <c r="K216">
        <v>1.2</v>
      </c>
    </row>
    <row r="217" spans="1:11" x14ac:dyDescent="0.2">
      <c r="A217" t="s">
        <v>11</v>
      </c>
      <c r="B217">
        <v>21</v>
      </c>
      <c r="C217" t="s">
        <v>42</v>
      </c>
      <c r="D217" t="s">
        <v>28</v>
      </c>
      <c r="E217" t="s">
        <v>51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0.5</v>
      </c>
    </row>
    <row r="218" spans="1:11" x14ac:dyDescent="0.2">
      <c r="A218" t="s">
        <v>11</v>
      </c>
      <c r="B218">
        <v>21</v>
      </c>
      <c r="C218" t="s">
        <v>42</v>
      </c>
      <c r="D218" t="s">
        <v>13</v>
      </c>
      <c r="E218" t="s">
        <v>35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0.75</v>
      </c>
    </row>
    <row r="219" spans="1:11" x14ac:dyDescent="0.2">
      <c r="A219" t="s">
        <v>11</v>
      </c>
      <c r="B219">
        <v>21</v>
      </c>
      <c r="C219" t="s">
        <v>42</v>
      </c>
      <c r="D219" t="s">
        <v>18</v>
      </c>
      <c r="E219" t="s">
        <v>44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0.75</v>
      </c>
    </row>
    <row r="220" spans="1:11" x14ac:dyDescent="0.2">
      <c r="A220" t="s">
        <v>11</v>
      </c>
      <c r="B220">
        <v>21</v>
      </c>
      <c r="C220" t="s">
        <v>42</v>
      </c>
      <c r="D220" t="s">
        <v>13</v>
      </c>
      <c r="E220" t="s">
        <v>56</v>
      </c>
      <c r="F220">
        <v>0</v>
      </c>
      <c r="G220">
        <v>0</v>
      </c>
      <c r="H220">
        <v>1</v>
      </c>
      <c r="I220">
        <v>2</v>
      </c>
      <c r="J220">
        <v>3</v>
      </c>
      <c r="K220">
        <v>0.7</v>
      </c>
    </row>
    <row r="221" spans="1:11" x14ac:dyDescent="0.2">
      <c r="A221" t="s">
        <v>11</v>
      </c>
      <c r="B221">
        <v>21</v>
      </c>
      <c r="C221" t="s">
        <v>42</v>
      </c>
      <c r="D221" t="s">
        <v>13</v>
      </c>
      <c r="E221" t="s">
        <v>64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0.1</v>
      </c>
    </row>
    <row r="222" spans="1:11" x14ac:dyDescent="0.2">
      <c r="A222" t="s">
        <v>11</v>
      </c>
      <c r="B222">
        <v>21</v>
      </c>
      <c r="C222" t="s">
        <v>45</v>
      </c>
      <c r="D222" t="s">
        <v>13</v>
      </c>
      <c r="E222" t="s">
        <v>27</v>
      </c>
      <c r="F222">
        <v>1</v>
      </c>
      <c r="G222">
        <v>0</v>
      </c>
      <c r="H222">
        <v>1</v>
      </c>
      <c r="I222">
        <v>0</v>
      </c>
      <c r="J222">
        <v>2</v>
      </c>
      <c r="K222">
        <v>1.5</v>
      </c>
    </row>
    <row r="223" spans="1:11" x14ac:dyDescent="0.2">
      <c r="A223" t="s">
        <v>11</v>
      </c>
      <c r="B223">
        <v>21</v>
      </c>
      <c r="C223" t="s">
        <v>45</v>
      </c>
      <c r="D223" t="s">
        <v>18</v>
      </c>
      <c r="E223" t="s">
        <v>91</v>
      </c>
      <c r="F223">
        <v>0</v>
      </c>
      <c r="G223">
        <v>1</v>
      </c>
      <c r="H223">
        <v>0</v>
      </c>
      <c r="I223">
        <v>1</v>
      </c>
      <c r="J223">
        <v>2</v>
      </c>
      <c r="K223">
        <v>0.85</v>
      </c>
    </row>
    <row r="224" spans="1:11" x14ac:dyDescent="0.2">
      <c r="A224" t="s">
        <v>11</v>
      </c>
      <c r="B224">
        <v>21</v>
      </c>
      <c r="C224" t="s">
        <v>45</v>
      </c>
      <c r="D224" t="s">
        <v>13</v>
      </c>
      <c r="E224" t="s">
        <v>92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0.1</v>
      </c>
    </row>
    <row r="225" spans="1:11" x14ac:dyDescent="0.2">
      <c r="A225" t="s">
        <v>11</v>
      </c>
      <c r="B225">
        <v>21</v>
      </c>
      <c r="C225" t="s">
        <v>45</v>
      </c>
      <c r="D225" t="s">
        <v>13</v>
      </c>
      <c r="E225" t="s">
        <v>84</v>
      </c>
      <c r="F225">
        <v>0</v>
      </c>
      <c r="G225">
        <v>0</v>
      </c>
      <c r="H225">
        <v>0</v>
      </c>
      <c r="I225">
        <v>2</v>
      </c>
      <c r="J225">
        <v>2</v>
      </c>
      <c r="K225">
        <v>0.2</v>
      </c>
    </row>
    <row r="226" spans="1:11" x14ac:dyDescent="0.2">
      <c r="A226" t="s">
        <v>11</v>
      </c>
      <c r="B226">
        <v>21</v>
      </c>
      <c r="C226" t="s">
        <v>45</v>
      </c>
      <c r="D226" t="s">
        <v>13</v>
      </c>
      <c r="E226" t="s">
        <v>77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0.75</v>
      </c>
    </row>
    <row r="227" spans="1:11" x14ac:dyDescent="0.2">
      <c r="A227" t="s">
        <v>11</v>
      </c>
      <c r="B227">
        <v>22</v>
      </c>
      <c r="C227" t="s">
        <v>20</v>
      </c>
      <c r="D227" t="s">
        <v>28</v>
      </c>
      <c r="E227" t="s">
        <v>29</v>
      </c>
      <c r="F227">
        <v>0</v>
      </c>
      <c r="G227">
        <v>2</v>
      </c>
      <c r="H227">
        <v>0</v>
      </c>
      <c r="I227">
        <v>0</v>
      </c>
      <c r="J227">
        <v>2</v>
      </c>
      <c r="K227">
        <v>1.5</v>
      </c>
    </row>
    <row r="228" spans="1:11" x14ac:dyDescent="0.2">
      <c r="A228" t="s">
        <v>11</v>
      </c>
      <c r="B228">
        <v>22</v>
      </c>
      <c r="C228" t="s">
        <v>20</v>
      </c>
      <c r="D228" t="s">
        <v>13</v>
      </c>
      <c r="E228" t="s">
        <v>89</v>
      </c>
      <c r="F228">
        <v>0</v>
      </c>
      <c r="G228">
        <v>0</v>
      </c>
      <c r="H228">
        <v>1</v>
      </c>
      <c r="I228">
        <v>1</v>
      </c>
      <c r="J228">
        <v>2</v>
      </c>
      <c r="K228">
        <v>0.6</v>
      </c>
    </row>
    <row r="229" spans="1:11" x14ac:dyDescent="0.2">
      <c r="A229" t="s">
        <v>11</v>
      </c>
      <c r="B229">
        <v>22</v>
      </c>
      <c r="C229" t="s">
        <v>20</v>
      </c>
      <c r="D229" t="s">
        <v>28</v>
      </c>
      <c r="E229" t="s">
        <v>61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0.5</v>
      </c>
    </row>
    <row r="230" spans="1:11" x14ac:dyDescent="0.2">
      <c r="A230" t="s">
        <v>11</v>
      </c>
      <c r="B230">
        <v>22</v>
      </c>
      <c r="C230" t="s">
        <v>20</v>
      </c>
      <c r="D230" t="s">
        <v>13</v>
      </c>
      <c r="E230" t="s">
        <v>37</v>
      </c>
      <c r="F230">
        <v>0</v>
      </c>
      <c r="G230">
        <v>0</v>
      </c>
      <c r="H230">
        <v>0</v>
      </c>
      <c r="I230">
        <v>2</v>
      </c>
      <c r="J230">
        <v>2</v>
      </c>
      <c r="K230">
        <v>0.2</v>
      </c>
    </row>
    <row r="231" spans="1:11" x14ac:dyDescent="0.2">
      <c r="A231" t="s">
        <v>11</v>
      </c>
      <c r="B231">
        <v>22</v>
      </c>
      <c r="C231" t="s">
        <v>22</v>
      </c>
      <c r="D231" t="s">
        <v>13</v>
      </c>
      <c r="E231" t="s">
        <v>54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0.1</v>
      </c>
    </row>
    <row r="232" spans="1:11" x14ac:dyDescent="0.2">
      <c r="A232" t="s">
        <v>11</v>
      </c>
      <c r="B232">
        <v>22</v>
      </c>
      <c r="C232" t="s">
        <v>22</v>
      </c>
      <c r="D232" t="s">
        <v>28</v>
      </c>
      <c r="E232" t="s">
        <v>62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0.5</v>
      </c>
    </row>
    <row r="233" spans="1:11" x14ac:dyDescent="0.2">
      <c r="A233" t="s">
        <v>11</v>
      </c>
      <c r="B233">
        <v>22</v>
      </c>
      <c r="C233" t="s">
        <v>22</v>
      </c>
      <c r="D233" t="s">
        <v>13</v>
      </c>
      <c r="E233" t="s">
        <v>68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0.1</v>
      </c>
    </row>
    <row r="234" spans="1:11" x14ac:dyDescent="0.2">
      <c r="A234" t="s">
        <v>11</v>
      </c>
      <c r="B234">
        <v>22</v>
      </c>
      <c r="C234" t="s">
        <v>17</v>
      </c>
      <c r="D234" t="s">
        <v>18</v>
      </c>
      <c r="E234" t="s">
        <v>93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0.6</v>
      </c>
    </row>
    <row r="235" spans="1:11" x14ac:dyDescent="0.2">
      <c r="A235" t="s">
        <v>11</v>
      </c>
      <c r="B235">
        <v>22</v>
      </c>
      <c r="C235" t="s">
        <v>17</v>
      </c>
      <c r="D235" t="s">
        <v>13</v>
      </c>
      <c r="E235" t="s">
        <v>41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0.1</v>
      </c>
    </row>
    <row r="236" spans="1:11" x14ac:dyDescent="0.2">
      <c r="A236" t="s">
        <v>11</v>
      </c>
      <c r="B236">
        <v>22</v>
      </c>
      <c r="C236" t="s">
        <v>42</v>
      </c>
      <c r="D236" t="s">
        <v>28</v>
      </c>
      <c r="E236" t="s">
        <v>43</v>
      </c>
      <c r="F236">
        <v>0</v>
      </c>
      <c r="G236">
        <v>0</v>
      </c>
      <c r="H236">
        <v>1</v>
      </c>
      <c r="I236">
        <v>1</v>
      </c>
      <c r="J236">
        <v>2</v>
      </c>
      <c r="K236">
        <v>0.7</v>
      </c>
    </row>
    <row r="237" spans="1:11" x14ac:dyDescent="0.2">
      <c r="A237" t="s">
        <v>11</v>
      </c>
      <c r="B237">
        <v>23</v>
      </c>
      <c r="C237" t="s">
        <v>20</v>
      </c>
      <c r="D237" t="s">
        <v>18</v>
      </c>
      <c r="E237" t="s">
        <v>57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0.5</v>
      </c>
    </row>
    <row r="238" spans="1:11" x14ac:dyDescent="0.2">
      <c r="A238" t="s">
        <v>11</v>
      </c>
      <c r="B238">
        <v>23</v>
      </c>
      <c r="C238" t="s">
        <v>15</v>
      </c>
      <c r="D238" t="s">
        <v>28</v>
      </c>
      <c r="E238" t="s">
        <v>57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0.5</v>
      </c>
    </row>
    <row r="239" spans="1:11" x14ac:dyDescent="0.2">
      <c r="A239" t="s">
        <v>11</v>
      </c>
      <c r="B239">
        <v>23</v>
      </c>
      <c r="C239" t="s">
        <v>22</v>
      </c>
      <c r="D239" t="s">
        <v>18</v>
      </c>
      <c r="E239" t="s">
        <v>94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0.75</v>
      </c>
    </row>
    <row r="240" spans="1:11" x14ac:dyDescent="0.2">
      <c r="A240" t="s">
        <v>11</v>
      </c>
      <c r="B240">
        <v>23</v>
      </c>
      <c r="C240" t="s">
        <v>17</v>
      </c>
      <c r="D240" t="s">
        <v>13</v>
      </c>
      <c r="E240" t="s">
        <v>26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0.1</v>
      </c>
    </row>
    <row r="241" spans="1:11" x14ac:dyDescent="0.2">
      <c r="A241" t="s">
        <v>11</v>
      </c>
      <c r="B241">
        <v>23</v>
      </c>
      <c r="C241" t="s">
        <v>17</v>
      </c>
      <c r="D241" t="s">
        <v>18</v>
      </c>
      <c r="E241" t="s">
        <v>26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0.1</v>
      </c>
    </row>
    <row r="242" spans="1:11" x14ac:dyDescent="0.2">
      <c r="A242" t="s">
        <v>11</v>
      </c>
      <c r="B242">
        <v>23</v>
      </c>
      <c r="C242" t="s">
        <v>45</v>
      </c>
      <c r="D242" t="s">
        <v>13</v>
      </c>
      <c r="E242" t="s">
        <v>79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0.1</v>
      </c>
    </row>
    <row r="243" spans="1:11" x14ac:dyDescent="0.2">
      <c r="A243" t="s">
        <v>11</v>
      </c>
      <c r="B243">
        <v>24</v>
      </c>
      <c r="C243" t="s">
        <v>20</v>
      </c>
      <c r="D243" t="s">
        <v>28</v>
      </c>
      <c r="E243" t="s">
        <v>29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1</v>
      </c>
    </row>
    <row r="244" spans="1:11" x14ac:dyDescent="0.2">
      <c r="A244" t="s">
        <v>11</v>
      </c>
      <c r="B244">
        <v>24</v>
      </c>
      <c r="C244" t="s">
        <v>20</v>
      </c>
      <c r="D244" t="s">
        <v>18</v>
      </c>
      <c r="E244" t="s">
        <v>57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0.1</v>
      </c>
    </row>
    <row r="245" spans="1:11" x14ac:dyDescent="0.2">
      <c r="A245" t="s">
        <v>11</v>
      </c>
      <c r="B245">
        <v>24</v>
      </c>
      <c r="C245" t="s">
        <v>20</v>
      </c>
      <c r="D245" t="s">
        <v>13</v>
      </c>
      <c r="E245" t="s">
        <v>33</v>
      </c>
      <c r="F245">
        <v>0</v>
      </c>
      <c r="G245">
        <v>2</v>
      </c>
      <c r="H245">
        <v>0</v>
      </c>
      <c r="I245">
        <v>0</v>
      </c>
      <c r="J245">
        <v>2</v>
      </c>
      <c r="K245">
        <v>1.5</v>
      </c>
    </row>
    <row r="246" spans="1:11" x14ac:dyDescent="0.2">
      <c r="A246" t="s">
        <v>11</v>
      </c>
      <c r="B246">
        <v>24</v>
      </c>
      <c r="C246" t="s">
        <v>20</v>
      </c>
      <c r="D246" t="s">
        <v>13</v>
      </c>
      <c r="E246" t="s">
        <v>37</v>
      </c>
      <c r="F246">
        <v>0</v>
      </c>
      <c r="G246">
        <v>0</v>
      </c>
      <c r="H246">
        <v>0</v>
      </c>
      <c r="I246">
        <v>5</v>
      </c>
      <c r="J246">
        <v>5</v>
      </c>
      <c r="K246">
        <v>0.5</v>
      </c>
    </row>
    <row r="247" spans="1:11" x14ac:dyDescent="0.2">
      <c r="A247" t="s">
        <v>11</v>
      </c>
      <c r="B247">
        <v>24</v>
      </c>
      <c r="C247" t="s">
        <v>12</v>
      </c>
      <c r="D247" t="s">
        <v>13</v>
      </c>
      <c r="E247" t="s">
        <v>14</v>
      </c>
      <c r="F247">
        <v>0</v>
      </c>
      <c r="G247">
        <v>1</v>
      </c>
      <c r="H247">
        <v>1</v>
      </c>
      <c r="I247">
        <v>0</v>
      </c>
      <c r="J247">
        <v>2</v>
      </c>
      <c r="K247">
        <v>1.25</v>
      </c>
    </row>
    <row r="248" spans="1:11" x14ac:dyDescent="0.2">
      <c r="A248" t="s">
        <v>11</v>
      </c>
      <c r="B248">
        <v>24</v>
      </c>
      <c r="C248" t="s">
        <v>12</v>
      </c>
      <c r="D248" t="s">
        <v>13</v>
      </c>
      <c r="E248" t="s">
        <v>65</v>
      </c>
      <c r="F248">
        <v>0</v>
      </c>
      <c r="G248">
        <v>0</v>
      </c>
      <c r="H248">
        <v>3</v>
      </c>
      <c r="I248">
        <v>0</v>
      </c>
      <c r="J248">
        <v>3</v>
      </c>
      <c r="K248">
        <v>1.5</v>
      </c>
    </row>
    <row r="249" spans="1:11" x14ac:dyDescent="0.2">
      <c r="A249" t="s">
        <v>11</v>
      </c>
      <c r="B249">
        <v>24</v>
      </c>
      <c r="C249" t="s">
        <v>12</v>
      </c>
      <c r="D249" t="s">
        <v>13</v>
      </c>
      <c r="E249" t="s">
        <v>58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0.1</v>
      </c>
    </row>
    <row r="250" spans="1:11" x14ac:dyDescent="0.2">
      <c r="A250" t="s">
        <v>11</v>
      </c>
      <c r="B250">
        <v>24</v>
      </c>
      <c r="C250" t="s">
        <v>15</v>
      </c>
      <c r="D250" t="s">
        <v>28</v>
      </c>
      <c r="E250" t="s">
        <v>57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0.1</v>
      </c>
    </row>
    <row r="251" spans="1:11" x14ac:dyDescent="0.2">
      <c r="A251" t="s">
        <v>11</v>
      </c>
      <c r="B251">
        <v>24</v>
      </c>
      <c r="C251" t="s">
        <v>22</v>
      </c>
      <c r="D251" t="s">
        <v>13</v>
      </c>
      <c r="E251" t="s">
        <v>65</v>
      </c>
      <c r="F251">
        <v>0</v>
      </c>
      <c r="G251">
        <v>0</v>
      </c>
      <c r="H251">
        <v>3</v>
      </c>
      <c r="I251">
        <v>0</v>
      </c>
      <c r="J251">
        <v>3</v>
      </c>
      <c r="K251">
        <v>1.5</v>
      </c>
    </row>
    <row r="252" spans="1:11" x14ac:dyDescent="0.2">
      <c r="A252" t="s">
        <v>11</v>
      </c>
      <c r="B252">
        <v>24</v>
      </c>
      <c r="C252" t="s">
        <v>17</v>
      </c>
      <c r="D252" t="s">
        <v>13</v>
      </c>
      <c r="E252" t="s">
        <v>40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1</v>
      </c>
    </row>
    <row r="253" spans="1:11" x14ac:dyDescent="0.2">
      <c r="A253" t="s">
        <v>11</v>
      </c>
      <c r="B253">
        <v>24</v>
      </c>
      <c r="C253" t="s">
        <v>17</v>
      </c>
      <c r="D253" t="s">
        <v>13</v>
      </c>
      <c r="E253" t="s">
        <v>26</v>
      </c>
      <c r="F253">
        <v>0</v>
      </c>
      <c r="G253">
        <v>0</v>
      </c>
      <c r="H253">
        <v>0</v>
      </c>
      <c r="I253">
        <v>3</v>
      </c>
      <c r="J253">
        <v>3</v>
      </c>
      <c r="K253">
        <v>0.3</v>
      </c>
    </row>
    <row r="254" spans="1:11" x14ac:dyDescent="0.2">
      <c r="A254" t="s">
        <v>11</v>
      </c>
      <c r="B254">
        <v>24</v>
      </c>
      <c r="C254" t="s">
        <v>17</v>
      </c>
      <c r="D254" t="s">
        <v>18</v>
      </c>
      <c r="E254" t="s">
        <v>26</v>
      </c>
      <c r="F254">
        <v>0</v>
      </c>
      <c r="G254">
        <v>0</v>
      </c>
      <c r="H254">
        <v>0</v>
      </c>
      <c r="I254">
        <v>3</v>
      </c>
      <c r="J254">
        <v>3</v>
      </c>
      <c r="K254">
        <v>0.3</v>
      </c>
    </row>
    <row r="255" spans="1:11" x14ac:dyDescent="0.2">
      <c r="A255" t="s">
        <v>11</v>
      </c>
      <c r="B255">
        <v>24</v>
      </c>
      <c r="C255" t="s">
        <v>17</v>
      </c>
      <c r="D255" t="s">
        <v>13</v>
      </c>
      <c r="E255" t="s">
        <v>69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0.5</v>
      </c>
    </row>
    <row r="256" spans="1:11" x14ac:dyDescent="0.2">
      <c r="A256" t="s">
        <v>11</v>
      </c>
      <c r="B256">
        <v>24</v>
      </c>
      <c r="C256" t="s">
        <v>17</v>
      </c>
      <c r="D256" t="s">
        <v>18</v>
      </c>
      <c r="E256" t="s">
        <v>69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0.5</v>
      </c>
    </row>
    <row r="257" spans="1:11" x14ac:dyDescent="0.2">
      <c r="A257" t="s">
        <v>11</v>
      </c>
      <c r="B257">
        <v>24</v>
      </c>
      <c r="C257" t="s">
        <v>42</v>
      </c>
      <c r="D257" t="s">
        <v>28</v>
      </c>
      <c r="E257" t="s">
        <v>43</v>
      </c>
      <c r="F257">
        <v>0</v>
      </c>
      <c r="G257">
        <v>0</v>
      </c>
      <c r="H257">
        <v>4</v>
      </c>
      <c r="I257">
        <v>1</v>
      </c>
      <c r="J257">
        <v>5</v>
      </c>
      <c r="K257">
        <v>2.5</v>
      </c>
    </row>
    <row r="258" spans="1:11" x14ac:dyDescent="0.2">
      <c r="A258" t="s">
        <v>11</v>
      </c>
      <c r="B258">
        <v>24</v>
      </c>
      <c r="C258" t="s">
        <v>45</v>
      </c>
      <c r="D258" t="s">
        <v>13</v>
      </c>
      <c r="E258" t="s">
        <v>46</v>
      </c>
      <c r="F258">
        <v>1</v>
      </c>
      <c r="G258">
        <v>0</v>
      </c>
      <c r="H258">
        <v>1</v>
      </c>
      <c r="I258">
        <v>6</v>
      </c>
      <c r="J258">
        <v>8</v>
      </c>
      <c r="K258">
        <v>2.1</v>
      </c>
    </row>
    <row r="259" spans="1:11" x14ac:dyDescent="0.2">
      <c r="A259" t="s">
        <v>11</v>
      </c>
      <c r="B259">
        <v>25</v>
      </c>
      <c r="C259" t="s">
        <v>20</v>
      </c>
      <c r="D259" t="s">
        <v>28</v>
      </c>
      <c r="E259" t="s">
        <v>29</v>
      </c>
      <c r="F259">
        <v>2</v>
      </c>
      <c r="G259">
        <v>0</v>
      </c>
      <c r="H259">
        <v>0</v>
      </c>
      <c r="I259">
        <v>0</v>
      </c>
      <c r="J259">
        <v>2</v>
      </c>
      <c r="K259">
        <v>2</v>
      </c>
    </row>
    <row r="260" spans="1:11" x14ac:dyDescent="0.2">
      <c r="A260" t="s">
        <v>11</v>
      </c>
      <c r="B260">
        <v>25</v>
      </c>
      <c r="C260" t="s">
        <v>20</v>
      </c>
      <c r="D260" t="s">
        <v>18</v>
      </c>
      <c r="E260" t="s">
        <v>57</v>
      </c>
      <c r="F260">
        <v>0</v>
      </c>
      <c r="G260">
        <v>2</v>
      </c>
      <c r="H260">
        <v>0</v>
      </c>
      <c r="I260">
        <v>0</v>
      </c>
      <c r="J260">
        <v>2</v>
      </c>
      <c r="K260">
        <v>1.5</v>
      </c>
    </row>
    <row r="261" spans="1:11" x14ac:dyDescent="0.2">
      <c r="A261" t="s">
        <v>11</v>
      </c>
      <c r="B261">
        <v>25</v>
      </c>
      <c r="C261" t="s">
        <v>20</v>
      </c>
      <c r="D261" t="s">
        <v>18</v>
      </c>
      <c r="E261" t="s">
        <v>35</v>
      </c>
      <c r="F261">
        <v>0</v>
      </c>
      <c r="G261">
        <v>3</v>
      </c>
      <c r="H261">
        <v>0</v>
      </c>
      <c r="I261">
        <v>3</v>
      </c>
      <c r="J261">
        <v>6</v>
      </c>
      <c r="K261">
        <v>2.5499999999999998</v>
      </c>
    </row>
    <row r="262" spans="1:11" x14ac:dyDescent="0.2">
      <c r="A262" t="s">
        <v>11</v>
      </c>
      <c r="B262">
        <v>25</v>
      </c>
      <c r="C262" t="s">
        <v>20</v>
      </c>
      <c r="D262" t="s">
        <v>13</v>
      </c>
      <c r="E262" t="s">
        <v>37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1</v>
      </c>
    </row>
    <row r="263" spans="1:11" x14ac:dyDescent="0.2">
      <c r="A263" t="s">
        <v>11</v>
      </c>
      <c r="B263">
        <v>25</v>
      </c>
      <c r="C263" t="s">
        <v>15</v>
      </c>
      <c r="D263" t="s">
        <v>28</v>
      </c>
      <c r="E263" t="s">
        <v>57</v>
      </c>
      <c r="F263">
        <v>0</v>
      </c>
      <c r="G263">
        <v>2</v>
      </c>
      <c r="H263">
        <v>0</v>
      </c>
      <c r="I263">
        <v>0</v>
      </c>
      <c r="J263">
        <v>2</v>
      </c>
      <c r="K263">
        <v>1.5</v>
      </c>
    </row>
    <row r="264" spans="1:11" x14ac:dyDescent="0.2">
      <c r="A264" t="s">
        <v>11</v>
      </c>
      <c r="B264">
        <v>25</v>
      </c>
      <c r="C264" t="s">
        <v>22</v>
      </c>
      <c r="D264" t="s">
        <v>13</v>
      </c>
      <c r="E264" t="s">
        <v>54</v>
      </c>
      <c r="F264">
        <v>0</v>
      </c>
      <c r="G264">
        <v>0</v>
      </c>
      <c r="H264">
        <v>0</v>
      </c>
      <c r="I264">
        <v>2</v>
      </c>
      <c r="J264">
        <v>2</v>
      </c>
      <c r="K264">
        <v>0.2</v>
      </c>
    </row>
    <row r="265" spans="1:11" x14ac:dyDescent="0.2">
      <c r="A265" t="s">
        <v>11</v>
      </c>
      <c r="B265">
        <v>25</v>
      </c>
      <c r="C265" t="s">
        <v>17</v>
      </c>
      <c r="D265" t="s">
        <v>18</v>
      </c>
      <c r="E265" t="s">
        <v>82</v>
      </c>
      <c r="F265">
        <v>0</v>
      </c>
      <c r="G265">
        <v>0</v>
      </c>
      <c r="H265">
        <v>2</v>
      </c>
      <c r="I265">
        <v>0</v>
      </c>
      <c r="J265">
        <v>2</v>
      </c>
      <c r="K265">
        <v>1</v>
      </c>
    </row>
    <row r="266" spans="1:11" x14ac:dyDescent="0.2">
      <c r="A266" t="s">
        <v>11</v>
      </c>
      <c r="B266">
        <v>25</v>
      </c>
      <c r="C266" t="s">
        <v>17</v>
      </c>
      <c r="D266" t="s">
        <v>13</v>
      </c>
      <c r="E266" t="s">
        <v>40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0.1</v>
      </c>
    </row>
    <row r="267" spans="1:11" x14ac:dyDescent="0.2">
      <c r="A267" t="s">
        <v>11</v>
      </c>
      <c r="B267">
        <v>25</v>
      </c>
      <c r="C267" t="s">
        <v>42</v>
      </c>
      <c r="D267" t="s">
        <v>28</v>
      </c>
      <c r="E267" t="s">
        <v>43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0.75</v>
      </c>
    </row>
    <row r="268" spans="1:11" x14ac:dyDescent="0.2">
      <c r="A268" t="s">
        <v>11</v>
      </c>
      <c r="B268">
        <v>25</v>
      </c>
      <c r="C268" t="s">
        <v>42</v>
      </c>
      <c r="D268" t="s">
        <v>13</v>
      </c>
      <c r="E268" t="s">
        <v>35</v>
      </c>
      <c r="F268">
        <v>0</v>
      </c>
      <c r="G268">
        <v>3</v>
      </c>
      <c r="H268">
        <v>0</v>
      </c>
      <c r="I268">
        <v>3</v>
      </c>
      <c r="J268">
        <v>6</v>
      </c>
      <c r="K268">
        <v>2.5499999999999998</v>
      </c>
    </row>
    <row r="269" spans="1:11" x14ac:dyDescent="0.2">
      <c r="A269" t="s">
        <v>11</v>
      </c>
      <c r="B269">
        <v>25</v>
      </c>
      <c r="C269" t="s">
        <v>42</v>
      </c>
      <c r="D269" t="s">
        <v>18</v>
      </c>
      <c r="E269" t="s">
        <v>44</v>
      </c>
      <c r="F269">
        <v>3</v>
      </c>
      <c r="G269">
        <v>0</v>
      </c>
      <c r="H269">
        <v>1</v>
      </c>
      <c r="I269">
        <v>2</v>
      </c>
      <c r="J269">
        <v>6</v>
      </c>
      <c r="K269">
        <v>3.7</v>
      </c>
    </row>
    <row r="270" spans="1:11" x14ac:dyDescent="0.2">
      <c r="A270" t="s">
        <v>11</v>
      </c>
      <c r="B270">
        <v>25</v>
      </c>
      <c r="C270" t="s">
        <v>42</v>
      </c>
      <c r="D270" t="s">
        <v>13</v>
      </c>
      <c r="E270" t="s">
        <v>56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0.1</v>
      </c>
    </row>
    <row r="271" spans="1:11" x14ac:dyDescent="0.2">
      <c r="A271" t="s">
        <v>11</v>
      </c>
      <c r="B271">
        <v>26</v>
      </c>
      <c r="C271" t="s">
        <v>20</v>
      </c>
      <c r="D271" t="s">
        <v>18</v>
      </c>
      <c r="E271" t="s">
        <v>21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1</v>
      </c>
    </row>
    <row r="272" spans="1:11" x14ac:dyDescent="0.2">
      <c r="A272" t="s">
        <v>11</v>
      </c>
      <c r="B272">
        <v>26</v>
      </c>
      <c r="C272" t="s">
        <v>20</v>
      </c>
      <c r="D272" t="s">
        <v>28</v>
      </c>
      <c r="E272" t="s">
        <v>29</v>
      </c>
      <c r="F272">
        <v>1</v>
      </c>
      <c r="G272">
        <v>0</v>
      </c>
      <c r="H272">
        <v>0</v>
      </c>
      <c r="I272">
        <v>0</v>
      </c>
      <c r="J272">
        <v>1</v>
      </c>
      <c r="K272">
        <v>1</v>
      </c>
    </row>
    <row r="273" spans="1:11" x14ac:dyDescent="0.2">
      <c r="A273" t="s">
        <v>11</v>
      </c>
      <c r="B273">
        <v>26</v>
      </c>
      <c r="C273" t="s">
        <v>20</v>
      </c>
      <c r="D273" t="s">
        <v>13</v>
      </c>
      <c r="E273" t="s">
        <v>95</v>
      </c>
      <c r="F273">
        <v>1</v>
      </c>
      <c r="G273">
        <v>0</v>
      </c>
      <c r="H273">
        <v>1</v>
      </c>
      <c r="I273">
        <v>0</v>
      </c>
      <c r="J273">
        <v>2</v>
      </c>
      <c r="K273">
        <v>1.5</v>
      </c>
    </row>
    <row r="274" spans="1:11" x14ac:dyDescent="0.2">
      <c r="A274" t="s">
        <v>11</v>
      </c>
      <c r="B274">
        <v>26</v>
      </c>
      <c r="C274" t="s">
        <v>20</v>
      </c>
      <c r="D274" t="s">
        <v>13</v>
      </c>
      <c r="E274" t="s">
        <v>37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0.75</v>
      </c>
    </row>
    <row r="275" spans="1:11" x14ac:dyDescent="0.2">
      <c r="A275" t="s">
        <v>11</v>
      </c>
      <c r="B275">
        <v>26</v>
      </c>
      <c r="C275" t="s">
        <v>22</v>
      </c>
      <c r="D275" t="s">
        <v>13</v>
      </c>
      <c r="E275" t="s">
        <v>54</v>
      </c>
      <c r="F275">
        <v>0</v>
      </c>
      <c r="G275">
        <v>2</v>
      </c>
      <c r="H275">
        <v>2</v>
      </c>
      <c r="I275">
        <v>2</v>
      </c>
      <c r="J275">
        <v>6</v>
      </c>
      <c r="K275">
        <v>2.7</v>
      </c>
    </row>
    <row r="276" spans="1:11" x14ac:dyDescent="0.2">
      <c r="A276" t="s">
        <v>11</v>
      </c>
      <c r="B276">
        <v>26</v>
      </c>
      <c r="C276" t="s">
        <v>17</v>
      </c>
      <c r="D276" t="s">
        <v>18</v>
      </c>
      <c r="E276" t="s">
        <v>82</v>
      </c>
      <c r="F276">
        <v>2</v>
      </c>
      <c r="G276">
        <v>0</v>
      </c>
      <c r="H276">
        <v>0</v>
      </c>
      <c r="I276">
        <v>0</v>
      </c>
      <c r="J276">
        <v>2</v>
      </c>
      <c r="K276">
        <v>2</v>
      </c>
    </row>
    <row r="277" spans="1:11" x14ac:dyDescent="0.2">
      <c r="A277" t="s">
        <v>11</v>
      </c>
      <c r="B277">
        <v>26</v>
      </c>
      <c r="C277" t="s">
        <v>42</v>
      </c>
      <c r="D277" t="s">
        <v>28</v>
      </c>
      <c r="E277" t="s">
        <v>43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0.75</v>
      </c>
    </row>
    <row r="278" spans="1:11" x14ac:dyDescent="0.2">
      <c r="A278" t="s">
        <v>11</v>
      </c>
      <c r="B278">
        <v>26</v>
      </c>
      <c r="C278" t="s">
        <v>42</v>
      </c>
      <c r="D278" t="s">
        <v>13</v>
      </c>
      <c r="E278" t="s">
        <v>56</v>
      </c>
      <c r="F278">
        <v>0</v>
      </c>
      <c r="G278">
        <v>0</v>
      </c>
      <c r="H278">
        <v>0</v>
      </c>
      <c r="I278">
        <v>2</v>
      </c>
      <c r="J278">
        <v>2</v>
      </c>
      <c r="K278">
        <v>0.2</v>
      </c>
    </row>
    <row r="279" spans="1:11" x14ac:dyDescent="0.2">
      <c r="A279" t="s">
        <v>11</v>
      </c>
      <c r="B279">
        <v>26</v>
      </c>
      <c r="C279" t="s">
        <v>45</v>
      </c>
      <c r="D279" t="s">
        <v>18</v>
      </c>
      <c r="E279" t="s">
        <v>78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0.5</v>
      </c>
    </row>
    <row r="280" spans="1:11" x14ac:dyDescent="0.2">
      <c r="A280" t="s">
        <v>11</v>
      </c>
      <c r="B280">
        <v>27</v>
      </c>
      <c r="C280" t="s">
        <v>20</v>
      </c>
      <c r="D280" t="s">
        <v>18</v>
      </c>
      <c r="E280" t="s">
        <v>57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0.5</v>
      </c>
    </row>
    <row r="281" spans="1:11" x14ac:dyDescent="0.2">
      <c r="A281" t="s">
        <v>11</v>
      </c>
      <c r="B281">
        <v>27</v>
      </c>
      <c r="C281" t="s">
        <v>20</v>
      </c>
      <c r="D281" t="s">
        <v>13</v>
      </c>
      <c r="E281" t="s">
        <v>33</v>
      </c>
      <c r="F281">
        <v>0</v>
      </c>
      <c r="G281">
        <v>2</v>
      </c>
      <c r="H281">
        <v>0</v>
      </c>
      <c r="I281">
        <v>0</v>
      </c>
      <c r="J281">
        <v>2</v>
      </c>
      <c r="K281">
        <v>1.5</v>
      </c>
    </row>
    <row r="282" spans="1:11" x14ac:dyDescent="0.2">
      <c r="A282" t="s">
        <v>11</v>
      </c>
      <c r="B282">
        <v>27</v>
      </c>
      <c r="C282" t="s">
        <v>20</v>
      </c>
      <c r="D282" t="s">
        <v>13</v>
      </c>
      <c r="E282" t="s">
        <v>36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0.1</v>
      </c>
    </row>
    <row r="283" spans="1:11" x14ac:dyDescent="0.2">
      <c r="A283" t="s">
        <v>11</v>
      </c>
      <c r="B283">
        <v>27</v>
      </c>
      <c r="C283" t="s">
        <v>20</v>
      </c>
      <c r="D283" t="s">
        <v>13</v>
      </c>
      <c r="E283" t="s">
        <v>37</v>
      </c>
      <c r="F283">
        <v>0</v>
      </c>
      <c r="G283">
        <v>0</v>
      </c>
      <c r="H283">
        <v>2</v>
      </c>
      <c r="I283">
        <v>0</v>
      </c>
      <c r="J283">
        <v>2</v>
      </c>
      <c r="K283">
        <v>1</v>
      </c>
    </row>
    <row r="284" spans="1:11" x14ac:dyDescent="0.2">
      <c r="A284" t="s">
        <v>11</v>
      </c>
      <c r="B284">
        <v>27</v>
      </c>
      <c r="C284" t="s">
        <v>12</v>
      </c>
      <c r="D284" t="s">
        <v>13</v>
      </c>
      <c r="E284" t="s">
        <v>65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0.1</v>
      </c>
    </row>
    <row r="285" spans="1:11" x14ac:dyDescent="0.2">
      <c r="A285" t="s">
        <v>11</v>
      </c>
      <c r="B285">
        <v>27</v>
      </c>
      <c r="C285" t="s">
        <v>15</v>
      </c>
      <c r="D285" t="s">
        <v>28</v>
      </c>
      <c r="E285" t="s">
        <v>57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0.5</v>
      </c>
    </row>
    <row r="286" spans="1:11" x14ac:dyDescent="0.2">
      <c r="A286" t="s">
        <v>11</v>
      </c>
      <c r="B286">
        <v>27</v>
      </c>
      <c r="C286" t="s">
        <v>22</v>
      </c>
      <c r="D286" t="s">
        <v>13</v>
      </c>
      <c r="E286" t="s">
        <v>65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0.1</v>
      </c>
    </row>
    <row r="287" spans="1:11" x14ac:dyDescent="0.2">
      <c r="A287" t="s">
        <v>11</v>
      </c>
      <c r="B287">
        <v>27</v>
      </c>
      <c r="C287" t="s">
        <v>42</v>
      </c>
      <c r="D287" t="s">
        <v>28</v>
      </c>
      <c r="E287" t="s">
        <v>43</v>
      </c>
      <c r="F287">
        <v>0</v>
      </c>
      <c r="G287">
        <v>0</v>
      </c>
      <c r="H287">
        <v>2</v>
      </c>
      <c r="I287">
        <v>0</v>
      </c>
      <c r="J287">
        <v>2</v>
      </c>
      <c r="K287">
        <v>1</v>
      </c>
    </row>
    <row r="288" spans="1:11" x14ac:dyDescent="0.2">
      <c r="A288" t="s">
        <v>11</v>
      </c>
      <c r="B288">
        <v>27</v>
      </c>
      <c r="C288" t="s">
        <v>42</v>
      </c>
      <c r="D288" t="s">
        <v>13</v>
      </c>
      <c r="E288" t="s">
        <v>56</v>
      </c>
      <c r="F288">
        <v>0</v>
      </c>
      <c r="G288">
        <v>0</v>
      </c>
      <c r="H288">
        <v>0</v>
      </c>
      <c r="I288">
        <v>2</v>
      </c>
      <c r="J288">
        <v>2</v>
      </c>
      <c r="K288">
        <v>0.2</v>
      </c>
    </row>
    <row r="289" spans="1:11" x14ac:dyDescent="0.2">
      <c r="A289" t="s">
        <v>11</v>
      </c>
      <c r="B289">
        <v>28</v>
      </c>
      <c r="C289" t="s">
        <v>20</v>
      </c>
      <c r="D289" t="s">
        <v>13</v>
      </c>
      <c r="E289" t="s">
        <v>33</v>
      </c>
      <c r="F289">
        <v>0</v>
      </c>
      <c r="G289">
        <v>3</v>
      </c>
      <c r="H289">
        <v>0</v>
      </c>
      <c r="I289">
        <v>0</v>
      </c>
      <c r="J289">
        <v>3</v>
      </c>
      <c r="K289">
        <v>2.25</v>
      </c>
    </row>
    <row r="290" spans="1:11" x14ac:dyDescent="0.2">
      <c r="A290" t="s">
        <v>11</v>
      </c>
      <c r="B290">
        <v>28</v>
      </c>
      <c r="C290" t="s">
        <v>20</v>
      </c>
      <c r="D290" t="s">
        <v>18</v>
      </c>
      <c r="E290" t="s">
        <v>35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0.5</v>
      </c>
    </row>
    <row r="291" spans="1:11" x14ac:dyDescent="0.2">
      <c r="A291" t="s">
        <v>11</v>
      </c>
      <c r="B291">
        <v>28</v>
      </c>
      <c r="C291" t="s">
        <v>20</v>
      </c>
      <c r="D291" t="s">
        <v>13</v>
      </c>
      <c r="E291" t="s">
        <v>37</v>
      </c>
      <c r="F291">
        <v>0</v>
      </c>
      <c r="G291">
        <v>0</v>
      </c>
      <c r="H291">
        <v>2</v>
      </c>
      <c r="I291">
        <v>0</v>
      </c>
      <c r="J291">
        <v>2</v>
      </c>
      <c r="K291">
        <v>1</v>
      </c>
    </row>
    <row r="292" spans="1:11" x14ac:dyDescent="0.2">
      <c r="A292" t="s">
        <v>11</v>
      </c>
      <c r="B292">
        <v>28</v>
      </c>
      <c r="C292" t="s">
        <v>42</v>
      </c>
      <c r="D292" t="s">
        <v>28</v>
      </c>
      <c r="E292" t="s">
        <v>43</v>
      </c>
      <c r="F292">
        <v>0</v>
      </c>
      <c r="G292">
        <v>0</v>
      </c>
      <c r="H292">
        <v>2</v>
      </c>
      <c r="I292">
        <v>0</v>
      </c>
      <c r="J292">
        <v>2</v>
      </c>
      <c r="K292">
        <v>1</v>
      </c>
    </row>
    <row r="293" spans="1:11" x14ac:dyDescent="0.2">
      <c r="A293" t="s">
        <v>11</v>
      </c>
      <c r="B293">
        <v>28</v>
      </c>
      <c r="C293" t="s">
        <v>42</v>
      </c>
      <c r="D293" t="s">
        <v>13</v>
      </c>
      <c r="E293" t="s">
        <v>35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0.5</v>
      </c>
    </row>
    <row r="294" spans="1:11" x14ac:dyDescent="0.2">
      <c r="A294" t="s">
        <v>11</v>
      </c>
      <c r="B294">
        <v>28</v>
      </c>
      <c r="C294" t="s">
        <v>42</v>
      </c>
      <c r="D294" t="s">
        <v>18</v>
      </c>
      <c r="E294" t="s">
        <v>44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0.5</v>
      </c>
    </row>
    <row r="295" spans="1:11" x14ac:dyDescent="0.2">
      <c r="A295" t="s">
        <v>11</v>
      </c>
      <c r="B295">
        <v>28</v>
      </c>
      <c r="C295" t="s">
        <v>42</v>
      </c>
      <c r="D295" t="s">
        <v>13</v>
      </c>
      <c r="E295" t="s">
        <v>56</v>
      </c>
      <c r="F295">
        <v>0</v>
      </c>
      <c r="G295">
        <v>0</v>
      </c>
      <c r="H295">
        <v>1</v>
      </c>
      <c r="I295">
        <v>3</v>
      </c>
      <c r="J295">
        <v>4</v>
      </c>
      <c r="K295">
        <v>0.8</v>
      </c>
    </row>
    <row r="296" spans="1:11" x14ac:dyDescent="0.2">
      <c r="A296" t="s">
        <v>11</v>
      </c>
      <c r="B296">
        <v>29</v>
      </c>
      <c r="C296" t="s">
        <v>20</v>
      </c>
      <c r="D296" t="s">
        <v>28</v>
      </c>
      <c r="E296" t="s">
        <v>29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0.75</v>
      </c>
    </row>
    <row r="297" spans="1:11" x14ac:dyDescent="0.2">
      <c r="A297" t="s">
        <v>11</v>
      </c>
      <c r="B297">
        <v>29</v>
      </c>
      <c r="C297" t="s">
        <v>20</v>
      </c>
      <c r="D297" t="s">
        <v>18</v>
      </c>
      <c r="E297" t="s">
        <v>57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0.75</v>
      </c>
    </row>
    <row r="298" spans="1:11" x14ac:dyDescent="0.2">
      <c r="A298" t="s">
        <v>11</v>
      </c>
      <c r="B298">
        <v>29</v>
      </c>
      <c r="C298" t="s">
        <v>20</v>
      </c>
      <c r="D298" t="s">
        <v>18</v>
      </c>
      <c r="E298" t="s">
        <v>35</v>
      </c>
      <c r="F298">
        <v>0</v>
      </c>
      <c r="G298">
        <v>6</v>
      </c>
      <c r="H298">
        <v>0</v>
      </c>
      <c r="I298">
        <v>0</v>
      </c>
      <c r="J298">
        <v>6</v>
      </c>
      <c r="K298">
        <v>4.5</v>
      </c>
    </row>
    <row r="299" spans="1:11" x14ac:dyDescent="0.2">
      <c r="A299" t="s">
        <v>11</v>
      </c>
      <c r="B299">
        <v>29</v>
      </c>
      <c r="C299" t="s">
        <v>20</v>
      </c>
      <c r="D299" t="s">
        <v>13</v>
      </c>
      <c r="E299" t="s">
        <v>37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1</v>
      </c>
    </row>
    <row r="300" spans="1:11" x14ac:dyDescent="0.2">
      <c r="A300" t="s">
        <v>11</v>
      </c>
      <c r="B300">
        <v>29</v>
      </c>
      <c r="C300" t="s">
        <v>12</v>
      </c>
      <c r="D300" t="s">
        <v>13</v>
      </c>
      <c r="E300" t="s">
        <v>65</v>
      </c>
      <c r="F300">
        <v>0</v>
      </c>
      <c r="G300">
        <v>0</v>
      </c>
      <c r="H300">
        <v>1</v>
      </c>
      <c r="I300">
        <v>1</v>
      </c>
      <c r="J300">
        <v>2</v>
      </c>
      <c r="K300">
        <v>0.6</v>
      </c>
    </row>
    <row r="301" spans="1:11" x14ac:dyDescent="0.2">
      <c r="A301" t="s">
        <v>11</v>
      </c>
      <c r="B301">
        <v>29</v>
      </c>
      <c r="C301" t="s">
        <v>12</v>
      </c>
      <c r="D301" t="s">
        <v>13</v>
      </c>
      <c r="E301" t="s">
        <v>58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0.1</v>
      </c>
    </row>
    <row r="302" spans="1:11" x14ac:dyDescent="0.2">
      <c r="A302" t="s">
        <v>11</v>
      </c>
      <c r="B302">
        <v>29</v>
      </c>
      <c r="C302" t="s">
        <v>15</v>
      </c>
      <c r="D302" t="s">
        <v>28</v>
      </c>
      <c r="E302" t="s">
        <v>57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0.75</v>
      </c>
    </row>
    <row r="303" spans="1:11" x14ac:dyDescent="0.2">
      <c r="A303" t="s">
        <v>11</v>
      </c>
      <c r="B303">
        <v>29</v>
      </c>
      <c r="C303" t="s">
        <v>22</v>
      </c>
      <c r="D303" t="s">
        <v>13</v>
      </c>
      <c r="E303" t="s">
        <v>65</v>
      </c>
      <c r="F303">
        <v>0</v>
      </c>
      <c r="G303">
        <v>0</v>
      </c>
      <c r="H303">
        <v>1</v>
      </c>
      <c r="I303">
        <v>1</v>
      </c>
      <c r="J303">
        <v>2</v>
      </c>
      <c r="K303">
        <v>0.6</v>
      </c>
    </row>
    <row r="304" spans="1:11" x14ac:dyDescent="0.2">
      <c r="A304" t="s">
        <v>11</v>
      </c>
      <c r="B304">
        <v>29</v>
      </c>
      <c r="C304" t="s">
        <v>42</v>
      </c>
      <c r="D304" t="s">
        <v>28</v>
      </c>
      <c r="E304" t="s">
        <v>43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0.75</v>
      </c>
    </row>
    <row r="305" spans="1:11" x14ac:dyDescent="0.2">
      <c r="A305" t="s">
        <v>11</v>
      </c>
      <c r="B305">
        <v>29</v>
      </c>
      <c r="C305" t="s">
        <v>42</v>
      </c>
      <c r="D305" t="s">
        <v>13</v>
      </c>
      <c r="E305" t="s">
        <v>35</v>
      </c>
      <c r="F305">
        <v>0</v>
      </c>
      <c r="G305">
        <v>6</v>
      </c>
      <c r="H305">
        <v>0</v>
      </c>
      <c r="I305">
        <v>0</v>
      </c>
      <c r="J305">
        <v>6</v>
      </c>
      <c r="K305">
        <v>4.5</v>
      </c>
    </row>
    <row r="306" spans="1:11" x14ac:dyDescent="0.2">
      <c r="A306" t="s">
        <v>11</v>
      </c>
      <c r="B306">
        <v>29</v>
      </c>
      <c r="C306" t="s">
        <v>42</v>
      </c>
      <c r="D306" t="s">
        <v>18</v>
      </c>
      <c r="E306" t="s">
        <v>44</v>
      </c>
      <c r="F306">
        <v>2</v>
      </c>
      <c r="G306">
        <v>4</v>
      </c>
      <c r="H306">
        <v>0</v>
      </c>
      <c r="I306">
        <v>0</v>
      </c>
      <c r="J306">
        <v>6</v>
      </c>
      <c r="K306">
        <v>5</v>
      </c>
    </row>
    <row r="307" spans="1:11" x14ac:dyDescent="0.2">
      <c r="A307" t="s">
        <v>11</v>
      </c>
      <c r="B307">
        <v>29</v>
      </c>
      <c r="C307" t="s">
        <v>45</v>
      </c>
      <c r="D307" t="s">
        <v>18</v>
      </c>
      <c r="E307" t="s">
        <v>96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0.1</v>
      </c>
    </row>
    <row r="308" spans="1:11" x14ac:dyDescent="0.2">
      <c r="A308" t="s">
        <v>11</v>
      </c>
      <c r="B308">
        <v>30</v>
      </c>
      <c r="C308" t="s">
        <v>20</v>
      </c>
      <c r="D308" t="s">
        <v>13</v>
      </c>
      <c r="E308" t="s">
        <v>34</v>
      </c>
      <c r="F308">
        <v>0</v>
      </c>
      <c r="G308">
        <v>1</v>
      </c>
      <c r="H308">
        <v>0</v>
      </c>
      <c r="I308">
        <v>0</v>
      </c>
      <c r="J308">
        <v>1</v>
      </c>
      <c r="K308">
        <v>0.75</v>
      </c>
    </row>
    <row r="309" spans="1:11" x14ac:dyDescent="0.2">
      <c r="A309" t="s">
        <v>11</v>
      </c>
      <c r="B309">
        <v>30</v>
      </c>
      <c r="C309" t="s">
        <v>20</v>
      </c>
      <c r="D309" t="s">
        <v>13</v>
      </c>
      <c r="E309" t="s">
        <v>37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0.2</v>
      </c>
    </row>
    <row r="310" spans="1:11" x14ac:dyDescent="0.2">
      <c r="A310" t="s">
        <v>11</v>
      </c>
      <c r="B310">
        <v>30</v>
      </c>
      <c r="C310" t="s">
        <v>12</v>
      </c>
      <c r="D310" t="s">
        <v>13</v>
      </c>
      <c r="E310" t="s">
        <v>74</v>
      </c>
      <c r="F310">
        <v>0</v>
      </c>
      <c r="G310">
        <v>0</v>
      </c>
      <c r="H310">
        <v>1</v>
      </c>
      <c r="I310">
        <v>0</v>
      </c>
      <c r="J310">
        <v>1</v>
      </c>
      <c r="K310">
        <v>0.5</v>
      </c>
    </row>
    <row r="311" spans="1:11" x14ac:dyDescent="0.2">
      <c r="A311" t="s">
        <v>11</v>
      </c>
      <c r="B311">
        <v>30</v>
      </c>
      <c r="C311" t="s">
        <v>15</v>
      </c>
      <c r="D311" t="s">
        <v>13</v>
      </c>
      <c r="E311" t="s">
        <v>97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0.1</v>
      </c>
    </row>
    <row r="312" spans="1:11" x14ac:dyDescent="0.2">
      <c r="A312" t="s">
        <v>11</v>
      </c>
      <c r="B312">
        <v>30</v>
      </c>
      <c r="C312" t="s">
        <v>22</v>
      </c>
      <c r="D312" t="s">
        <v>13</v>
      </c>
      <c r="E312" t="s">
        <v>25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0.1</v>
      </c>
    </row>
    <row r="313" spans="1:11" x14ac:dyDescent="0.2">
      <c r="A313" t="s">
        <v>11</v>
      </c>
      <c r="B313">
        <v>30</v>
      </c>
      <c r="C313" t="s">
        <v>22</v>
      </c>
      <c r="D313" t="s">
        <v>13</v>
      </c>
      <c r="E313" t="s">
        <v>55</v>
      </c>
      <c r="F313">
        <v>2</v>
      </c>
      <c r="G313">
        <v>0</v>
      </c>
      <c r="H313">
        <v>0</v>
      </c>
      <c r="I313">
        <v>0</v>
      </c>
      <c r="J313">
        <v>2</v>
      </c>
      <c r="K313">
        <v>2</v>
      </c>
    </row>
    <row r="314" spans="1:11" x14ac:dyDescent="0.2">
      <c r="A314" t="s">
        <v>11</v>
      </c>
      <c r="B314">
        <v>30</v>
      </c>
      <c r="C314" t="s">
        <v>17</v>
      </c>
      <c r="D314" t="s">
        <v>13</v>
      </c>
      <c r="E314" t="s">
        <v>40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0.1</v>
      </c>
    </row>
    <row r="315" spans="1:11" x14ac:dyDescent="0.2">
      <c r="A315" t="s">
        <v>11</v>
      </c>
      <c r="B315">
        <v>30</v>
      </c>
      <c r="C315" t="s">
        <v>42</v>
      </c>
      <c r="D315" t="s">
        <v>28</v>
      </c>
      <c r="E315" t="s">
        <v>43</v>
      </c>
      <c r="F315">
        <v>0</v>
      </c>
      <c r="G315">
        <v>0</v>
      </c>
      <c r="H315">
        <v>0</v>
      </c>
      <c r="I315">
        <v>2</v>
      </c>
      <c r="J315">
        <v>2</v>
      </c>
      <c r="K315">
        <v>0.2</v>
      </c>
    </row>
    <row r="316" spans="1:11" x14ac:dyDescent="0.2">
      <c r="A316" t="s">
        <v>11</v>
      </c>
      <c r="B316">
        <v>30</v>
      </c>
      <c r="C316" t="s">
        <v>42</v>
      </c>
      <c r="D316" t="s">
        <v>13</v>
      </c>
      <c r="E316" t="s">
        <v>56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0.1</v>
      </c>
    </row>
    <row r="317" spans="1:11" x14ac:dyDescent="0.2">
      <c r="A317" t="s">
        <v>11</v>
      </c>
      <c r="B317">
        <v>31</v>
      </c>
      <c r="C317" t="s">
        <v>20</v>
      </c>
      <c r="D317" t="s">
        <v>13</v>
      </c>
      <c r="E317" t="s">
        <v>37</v>
      </c>
      <c r="F317">
        <v>0</v>
      </c>
      <c r="G317">
        <v>0</v>
      </c>
      <c r="H317">
        <v>0</v>
      </c>
      <c r="I317">
        <v>2</v>
      </c>
      <c r="J317">
        <v>2</v>
      </c>
      <c r="K317">
        <v>0.2</v>
      </c>
    </row>
    <row r="318" spans="1:11" x14ac:dyDescent="0.2">
      <c r="A318" t="s">
        <v>11</v>
      </c>
      <c r="B318">
        <v>31</v>
      </c>
      <c r="C318" t="s">
        <v>12</v>
      </c>
      <c r="D318" t="s">
        <v>13</v>
      </c>
      <c r="E318" t="s">
        <v>98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1</v>
      </c>
    </row>
    <row r="319" spans="1:11" x14ac:dyDescent="0.2">
      <c r="A319" t="s">
        <v>11</v>
      </c>
      <c r="B319">
        <v>31</v>
      </c>
      <c r="C319" t="s">
        <v>12</v>
      </c>
      <c r="D319" t="s">
        <v>13</v>
      </c>
      <c r="E319" t="s">
        <v>99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0.75</v>
      </c>
    </row>
    <row r="320" spans="1:11" x14ac:dyDescent="0.2">
      <c r="A320" t="s">
        <v>11</v>
      </c>
      <c r="B320">
        <v>31</v>
      </c>
      <c r="C320" t="s">
        <v>15</v>
      </c>
      <c r="D320" t="s">
        <v>13</v>
      </c>
      <c r="E320" t="s">
        <v>16</v>
      </c>
      <c r="F320">
        <v>0</v>
      </c>
      <c r="G320">
        <v>0</v>
      </c>
      <c r="H320">
        <v>2</v>
      </c>
      <c r="I320">
        <v>0</v>
      </c>
      <c r="J320">
        <v>2</v>
      </c>
      <c r="K320">
        <v>1</v>
      </c>
    </row>
    <row r="321" spans="1:11" x14ac:dyDescent="0.2">
      <c r="A321" t="s">
        <v>11</v>
      </c>
      <c r="B321">
        <v>31</v>
      </c>
      <c r="C321" t="s">
        <v>15</v>
      </c>
      <c r="D321" t="s">
        <v>13</v>
      </c>
      <c r="E321" t="s">
        <v>67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0.5</v>
      </c>
    </row>
    <row r="322" spans="1:11" x14ac:dyDescent="0.2">
      <c r="A322" t="s">
        <v>11</v>
      </c>
      <c r="B322">
        <v>31</v>
      </c>
      <c r="C322" t="s">
        <v>22</v>
      </c>
      <c r="D322" t="s">
        <v>13</v>
      </c>
      <c r="E322" t="s">
        <v>54</v>
      </c>
      <c r="F322">
        <v>0</v>
      </c>
      <c r="G322">
        <v>0</v>
      </c>
      <c r="H322">
        <v>0</v>
      </c>
      <c r="I322">
        <v>2</v>
      </c>
      <c r="J322">
        <v>2</v>
      </c>
      <c r="K322">
        <v>0.2</v>
      </c>
    </row>
    <row r="323" spans="1:11" x14ac:dyDescent="0.2">
      <c r="A323" t="s">
        <v>11</v>
      </c>
      <c r="B323">
        <v>31</v>
      </c>
      <c r="C323" t="s">
        <v>22</v>
      </c>
      <c r="D323" t="s">
        <v>13</v>
      </c>
      <c r="E323" t="s">
        <v>25</v>
      </c>
      <c r="F323">
        <v>0</v>
      </c>
      <c r="G323">
        <v>1</v>
      </c>
      <c r="H323">
        <v>1</v>
      </c>
      <c r="I323">
        <v>0</v>
      </c>
      <c r="J323">
        <v>2</v>
      </c>
      <c r="K323">
        <v>1.25</v>
      </c>
    </row>
    <row r="324" spans="1:11" x14ac:dyDescent="0.2">
      <c r="A324" t="s">
        <v>11</v>
      </c>
      <c r="B324">
        <v>31</v>
      </c>
      <c r="C324" t="s">
        <v>17</v>
      </c>
      <c r="D324" t="s">
        <v>18</v>
      </c>
      <c r="E324" t="s">
        <v>82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0.5</v>
      </c>
    </row>
    <row r="325" spans="1:11" x14ac:dyDescent="0.2">
      <c r="A325" t="s">
        <v>11</v>
      </c>
      <c r="B325">
        <v>31</v>
      </c>
      <c r="C325" t="s">
        <v>17</v>
      </c>
      <c r="D325" t="s">
        <v>18</v>
      </c>
      <c r="E325" t="s">
        <v>100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1</v>
      </c>
    </row>
    <row r="326" spans="1:11" x14ac:dyDescent="0.2">
      <c r="A326" t="s">
        <v>11</v>
      </c>
      <c r="B326">
        <v>31</v>
      </c>
      <c r="C326" t="s">
        <v>17</v>
      </c>
      <c r="D326" t="s">
        <v>18</v>
      </c>
      <c r="E326" t="s">
        <v>19</v>
      </c>
      <c r="F326">
        <v>0</v>
      </c>
      <c r="G326">
        <v>0</v>
      </c>
      <c r="H326">
        <v>2</v>
      </c>
      <c r="I326">
        <v>0</v>
      </c>
      <c r="J326">
        <v>2</v>
      </c>
      <c r="K326">
        <v>1.2</v>
      </c>
    </row>
    <row r="327" spans="1:11" x14ac:dyDescent="0.2">
      <c r="A327" t="s">
        <v>11</v>
      </c>
      <c r="B327">
        <v>31</v>
      </c>
      <c r="C327" t="s">
        <v>42</v>
      </c>
      <c r="D327" t="s">
        <v>28</v>
      </c>
      <c r="E327" t="s">
        <v>43</v>
      </c>
      <c r="F327">
        <v>0</v>
      </c>
      <c r="G327">
        <v>0</v>
      </c>
      <c r="H327">
        <v>1</v>
      </c>
      <c r="I327">
        <v>1</v>
      </c>
      <c r="J327">
        <v>2</v>
      </c>
      <c r="K327">
        <v>0.7</v>
      </c>
    </row>
    <row r="328" spans="1:11" x14ac:dyDescent="0.2">
      <c r="A328" t="s">
        <v>11</v>
      </c>
      <c r="B328">
        <v>31</v>
      </c>
      <c r="C328" t="s">
        <v>45</v>
      </c>
      <c r="D328" t="s">
        <v>13</v>
      </c>
      <c r="E328" t="s">
        <v>77</v>
      </c>
      <c r="F328">
        <v>0</v>
      </c>
      <c r="G328">
        <v>2</v>
      </c>
      <c r="H328">
        <v>0</v>
      </c>
      <c r="I328">
        <v>0</v>
      </c>
      <c r="J328">
        <v>2</v>
      </c>
      <c r="K328">
        <v>1.5</v>
      </c>
    </row>
    <row r="329" spans="1:11" x14ac:dyDescent="0.2">
      <c r="A329" t="s">
        <v>11</v>
      </c>
      <c r="B329">
        <v>32</v>
      </c>
      <c r="C329" t="s">
        <v>20</v>
      </c>
      <c r="D329" t="s">
        <v>28</v>
      </c>
      <c r="E329" t="s">
        <v>29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</row>
    <row r="330" spans="1:11" x14ac:dyDescent="0.2">
      <c r="A330" t="s">
        <v>11</v>
      </c>
      <c r="B330">
        <v>32</v>
      </c>
      <c r="C330" t="s">
        <v>20</v>
      </c>
      <c r="D330" t="s">
        <v>13</v>
      </c>
      <c r="E330" t="s">
        <v>34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0.75</v>
      </c>
    </row>
    <row r="331" spans="1:11" x14ac:dyDescent="0.2">
      <c r="A331" t="s">
        <v>11</v>
      </c>
      <c r="B331">
        <v>32</v>
      </c>
      <c r="C331" t="s">
        <v>12</v>
      </c>
      <c r="D331" t="s">
        <v>13</v>
      </c>
      <c r="E331" t="s">
        <v>24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0.5</v>
      </c>
    </row>
    <row r="332" spans="1:11" x14ac:dyDescent="0.2">
      <c r="A332" t="s">
        <v>11</v>
      </c>
      <c r="B332">
        <v>32</v>
      </c>
      <c r="C332" t="s">
        <v>12</v>
      </c>
      <c r="D332" t="s">
        <v>13</v>
      </c>
      <c r="E332" t="s">
        <v>101</v>
      </c>
      <c r="F332">
        <v>0</v>
      </c>
      <c r="G332">
        <v>0</v>
      </c>
      <c r="H332">
        <v>2</v>
      </c>
      <c r="I332">
        <v>0</v>
      </c>
      <c r="J332">
        <v>2</v>
      </c>
      <c r="K332">
        <v>1</v>
      </c>
    </row>
    <row r="333" spans="1:11" x14ac:dyDescent="0.2">
      <c r="A333" t="s">
        <v>11</v>
      </c>
      <c r="B333">
        <v>32</v>
      </c>
      <c r="C333" t="s">
        <v>15</v>
      </c>
      <c r="D333" t="s">
        <v>13</v>
      </c>
      <c r="E333" t="s">
        <v>67</v>
      </c>
      <c r="F333">
        <v>0</v>
      </c>
      <c r="G333">
        <v>0</v>
      </c>
      <c r="H333">
        <v>1</v>
      </c>
      <c r="I333">
        <v>1</v>
      </c>
      <c r="J333">
        <v>2</v>
      </c>
      <c r="K333">
        <v>0.6</v>
      </c>
    </row>
    <row r="334" spans="1:11" x14ac:dyDescent="0.2">
      <c r="A334" t="s">
        <v>11</v>
      </c>
      <c r="B334">
        <v>32</v>
      </c>
      <c r="C334" t="s">
        <v>22</v>
      </c>
      <c r="D334" t="s">
        <v>13</v>
      </c>
      <c r="E334" t="s">
        <v>25</v>
      </c>
      <c r="F334">
        <v>0</v>
      </c>
      <c r="G334">
        <v>0</v>
      </c>
      <c r="H334">
        <v>3</v>
      </c>
      <c r="I334">
        <v>0</v>
      </c>
      <c r="J334">
        <v>3</v>
      </c>
      <c r="K334">
        <v>1.5</v>
      </c>
    </row>
    <row r="335" spans="1:11" x14ac:dyDescent="0.2">
      <c r="A335" t="s">
        <v>11</v>
      </c>
      <c r="B335">
        <v>32</v>
      </c>
      <c r="C335" t="s">
        <v>17</v>
      </c>
      <c r="D335" t="s">
        <v>13</v>
      </c>
      <c r="E335" t="s">
        <v>24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0.5</v>
      </c>
    </row>
    <row r="336" spans="1:11" x14ac:dyDescent="0.2">
      <c r="A336" t="s">
        <v>11</v>
      </c>
      <c r="B336">
        <v>32</v>
      </c>
      <c r="C336" t="s">
        <v>17</v>
      </c>
      <c r="D336" t="s">
        <v>13</v>
      </c>
      <c r="E336" t="s">
        <v>41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0.75</v>
      </c>
    </row>
    <row r="337" spans="1:11" x14ac:dyDescent="0.2">
      <c r="A337" t="s">
        <v>11</v>
      </c>
      <c r="B337">
        <v>32</v>
      </c>
      <c r="C337" t="s">
        <v>42</v>
      </c>
      <c r="D337" t="s">
        <v>28</v>
      </c>
      <c r="E337" t="s">
        <v>51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0.75</v>
      </c>
    </row>
    <row r="338" spans="1:11" x14ac:dyDescent="0.2">
      <c r="A338" t="s">
        <v>11</v>
      </c>
      <c r="B338">
        <v>32</v>
      </c>
      <c r="C338" t="s">
        <v>45</v>
      </c>
      <c r="D338" t="s">
        <v>18</v>
      </c>
      <c r="E338" t="s">
        <v>96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0.1</v>
      </c>
    </row>
    <row r="339" spans="1:11" x14ac:dyDescent="0.2">
      <c r="A339" t="s">
        <v>11</v>
      </c>
      <c r="B339">
        <v>32</v>
      </c>
      <c r="C339" t="s">
        <v>45</v>
      </c>
      <c r="D339" t="s">
        <v>13</v>
      </c>
      <c r="E339" t="s">
        <v>46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0.1</v>
      </c>
    </row>
    <row r="340" spans="1:11" x14ac:dyDescent="0.2">
      <c r="A340" t="s">
        <v>11</v>
      </c>
      <c r="B340">
        <v>33</v>
      </c>
      <c r="C340" t="s">
        <v>22</v>
      </c>
      <c r="D340" t="s">
        <v>13</v>
      </c>
      <c r="E340" t="s">
        <v>23</v>
      </c>
      <c r="F340">
        <v>5</v>
      </c>
      <c r="G340">
        <v>0</v>
      </c>
      <c r="H340">
        <v>5</v>
      </c>
      <c r="I340">
        <v>3</v>
      </c>
      <c r="J340">
        <v>13</v>
      </c>
      <c r="K340">
        <v>7.8</v>
      </c>
    </row>
    <row r="341" spans="1:11" x14ac:dyDescent="0.2">
      <c r="A341" t="s">
        <v>11</v>
      </c>
      <c r="B341">
        <v>34</v>
      </c>
      <c r="C341" t="s">
        <v>20</v>
      </c>
      <c r="D341" t="s">
        <v>28</v>
      </c>
      <c r="E341" t="s">
        <v>29</v>
      </c>
      <c r="F341">
        <v>1</v>
      </c>
      <c r="G341">
        <v>0</v>
      </c>
      <c r="H341">
        <v>0</v>
      </c>
      <c r="I341">
        <v>0</v>
      </c>
      <c r="J341">
        <v>1</v>
      </c>
      <c r="K341">
        <v>1</v>
      </c>
    </row>
    <row r="342" spans="1:11" x14ac:dyDescent="0.2">
      <c r="A342" t="s">
        <v>11</v>
      </c>
      <c r="B342">
        <v>34</v>
      </c>
      <c r="C342" t="s">
        <v>20</v>
      </c>
      <c r="D342" t="s">
        <v>18</v>
      </c>
      <c r="E342" t="s">
        <v>57</v>
      </c>
      <c r="F342">
        <v>0</v>
      </c>
      <c r="G342">
        <v>2</v>
      </c>
      <c r="H342">
        <v>0</v>
      </c>
      <c r="I342">
        <v>0</v>
      </c>
      <c r="J342">
        <v>2</v>
      </c>
      <c r="K342">
        <v>1.5</v>
      </c>
    </row>
    <row r="343" spans="1:11" x14ac:dyDescent="0.2">
      <c r="A343" t="s">
        <v>11</v>
      </c>
      <c r="B343">
        <v>34</v>
      </c>
      <c r="C343" t="s">
        <v>20</v>
      </c>
      <c r="D343" t="s">
        <v>13</v>
      </c>
      <c r="E343" t="s">
        <v>33</v>
      </c>
      <c r="F343">
        <v>0</v>
      </c>
      <c r="G343">
        <v>3</v>
      </c>
      <c r="H343">
        <v>0</v>
      </c>
      <c r="I343">
        <v>0</v>
      </c>
      <c r="J343">
        <v>3</v>
      </c>
      <c r="K343">
        <v>2.25</v>
      </c>
    </row>
    <row r="344" spans="1:11" x14ac:dyDescent="0.2">
      <c r="A344" t="s">
        <v>11</v>
      </c>
      <c r="B344">
        <v>34</v>
      </c>
      <c r="C344" t="s">
        <v>12</v>
      </c>
      <c r="D344" t="s">
        <v>13</v>
      </c>
      <c r="E344" t="s">
        <v>65</v>
      </c>
      <c r="F344">
        <v>0</v>
      </c>
      <c r="G344">
        <v>0</v>
      </c>
      <c r="H344">
        <v>3</v>
      </c>
      <c r="I344">
        <v>1</v>
      </c>
      <c r="J344">
        <v>4</v>
      </c>
      <c r="K344">
        <v>1.6</v>
      </c>
    </row>
    <row r="345" spans="1:11" x14ac:dyDescent="0.2">
      <c r="A345" t="s">
        <v>11</v>
      </c>
      <c r="B345">
        <v>34</v>
      </c>
      <c r="C345" t="s">
        <v>15</v>
      </c>
      <c r="D345" t="s">
        <v>28</v>
      </c>
      <c r="E345" t="s">
        <v>57</v>
      </c>
      <c r="F345">
        <v>0</v>
      </c>
      <c r="G345">
        <v>2</v>
      </c>
      <c r="H345">
        <v>0</v>
      </c>
      <c r="I345">
        <v>0</v>
      </c>
      <c r="J345">
        <v>2</v>
      </c>
      <c r="K345">
        <v>1.5</v>
      </c>
    </row>
    <row r="346" spans="1:11" x14ac:dyDescent="0.2">
      <c r="A346" t="s">
        <v>11</v>
      </c>
      <c r="B346">
        <v>34</v>
      </c>
      <c r="C346" t="s">
        <v>22</v>
      </c>
      <c r="D346" t="s">
        <v>13</v>
      </c>
      <c r="E346" t="s">
        <v>25</v>
      </c>
      <c r="F346">
        <v>0</v>
      </c>
      <c r="G346">
        <v>0</v>
      </c>
      <c r="H346">
        <v>1</v>
      </c>
      <c r="I346">
        <v>0</v>
      </c>
      <c r="J346">
        <v>1</v>
      </c>
      <c r="K346">
        <v>0.5</v>
      </c>
    </row>
    <row r="347" spans="1:11" x14ac:dyDescent="0.2">
      <c r="A347" t="s">
        <v>11</v>
      </c>
      <c r="B347">
        <v>34</v>
      </c>
      <c r="C347" t="s">
        <v>22</v>
      </c>
      <c r="D347" t="s">
        <v>13</v>
      </c>
      <c r="E347" t="s">
        <v>65</v>
      </c>
      <c r="F347">
        <v>0</v>
      </c>
      <c r="G347">
        <v>0</v>
      </c>
      <c r="H347">
        <v>3</v>
      </c>
      <c r="I347">
        <v>1</v>
      </c>
      <c r="J347">
        <v>4</v>
      </c>
      <c r="K347">
        <v>1.6</v>
      </c>
    </row>
    <row r="348" spans="1:11" x14ac:dyDescent="0.2">
      <c r="A348" t="s">
        <v>11</v>
      </c>
      <c r="B348">
        <v>34</v>
      </c>
      <c r="C348" t="s">
        <v>42</v>
      </c>
      <c r="D348" t="s">
        <v>28</v>
      </c>
      <c r="E348" t="s">
        <v>51</v>
      </c>
      <c r="F348">
        <v>0</v>
      </c>
      <c r="G348">
        <v>1</v>
      </c>
      <c r="H348">
        <v>0</v>
      </c>
      <c r="I348">
        <v>0</v>
      </c>
      <c r="J348">
        <v>1</v>
      </c>
      <c r="K348">
        <v>0.75</v>
      </c>
    </row>
    <row r="349" spans="1:11" x14ac:dyDescent="0.2">
      <c r="A349" t="s">
        <v>11</v>
      </c>
      <c r="B349">
        <v>34</v>
      </c>
      <c r="C349" t="s">
        <v>45</v>
      </c>
      <c r="D349" t="s">
        <v>13</v>
      </c>
      <c r="E349" t="s">
        <v>83</v>
      </c>
      <c r="F349">
        <v>1</v>
      </c>
      <c r="G349">
        <v>0</v>
      </c>
      <c r="H349">
        <v>0</v>
      </c>
      <c r="I349">
        <v>0</v>
      </c>
      <c r="J349">
        <v>1</v>
      </c>
      <c r="K349">
        <v>1</v>
      </c>
    </row>
    <row r="350" spans="1:11" x14ac:dyDescent="0.2">
      <c r="A350" t="s">
        <v>11</v>
      </c>
      <c r="B350">
        <v>35</v>
      </c>
      <c r="C350" t="s">
        <v>20</v>
      </c>
      <c r="D350" t="s">
        <v>18</v>
      </c>
      <c r="E350" t="s">
        <v>57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0.1</v>
      </c>
    </row>
    <row r="351" spans="1:11" x14ac:dyDescent="0.2">
      <c r="A351" t="s">
        <v>11</v>
      </c>
      <c r="B351">
        <v>35</v>
      </c>
      <c r="C351" t="s">
        <v>20</v>
      </c>
      <c r="D351" t="s">
        <v>13</v>
      </c>
      <c r="E351" t="s">
        <v>33</v>
      </c>
      <c r="F351">
        <v>0</v>
      </c>
      <c r="G351">
        <v>2</v>
      </c>
      <c r="H351">
        <v>0</v>
      </c>
      <c r="I351">
        <v>0</v>
      </c>
      <c r="J351">
        <v>2</v>
      </c>
      <c r="K351">
        <v>1.5</v>
      </c>
    </row>
    <row r="352" spans="1:11" x14ac:dyDescent="0.2">
      <c r="A352" t="s">
        <v>11</v>
      </c>
      <c r="B352">
        <v>35</v>
      </c>
      <c r="C352" t="s">
        <v>15</v>
      </c>
      <c r="D352" t="s">
        <v>28</v>
      </c>
      <c r="E352" t="s">
        <v>57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0.1</v>
      </c>
    </row>
    <row r="353" spans="1:11" x14ac:dyDescent="0.2">
      <c r="A353" t="s">
        <v>11</v>
      </c>
      <c r="B353">
        <v>36</v>
      </c>
      <c r="C353" t="s">
        <v>20</v>
      </c>
      <c r="D353" t="s">
        <v>28</v>
      </c>
      <c r="E353" t="s">
        <v>29</v>
      </c>
      <c r="F353">
        <v>0</v>
      </c>
      <c r="G353">
        <v>3</v>
      </c>
      <c r="H353">
        <v>1</v>
      </c>
      <c r="I353">
        <v>0</v>
      </c>
      <c r="J353">
        <v>4</v>
      </c>
      <c r="K353">
        <v>2.75</v>
      </c>
    </row>
    <row r="354" spans="1:11" x14ac:dyDescent="0.2">
      <c r="A354" t="s">
        <v>11</v>
      </c>
      <c r="B354">
        <v>36</v>
      </c>
      <c r="C354" t="s">
        <v>22</v>
      </c>
      <c r="D354" t="s">
        <v>13</v>
      </c>
      <c r="E354" t="s">
        <v>55</v>
      </c>
      <c r="F354">
        <v>2</v>
      </c>
      <c r="G354">
        <v>0</v>
      </c>
      <c r="H354">
        <v>0</v>
      </c>
      <c r="I354">
        <v>0</v>
      </c>
      <c r="J354">
        <v>2</v>
      </c>
      <c r="K354">
        <v>2</v>
      </c>
    </row>
    <row r="355" spans="1:11" x14ac:dyDescent="0.2">
      <c r="A355" t="s">
        <v>11</v>
      </c>
      <c r="B355">
        <v>37</v>
      </c>
      <c r="C355" t="s">
        <v>20</v>
      </c>
      <c r="D355" t="s">
        <v>28</v>
      </c>
      <c r="E355" t="s">
        <v>29</v>
      </c>
      <c r="F355">
        <v>1</v>
      </c>
      <c r="G355">
        <v>0</v>
      </c>
      <c r="H355">
        <v>1</v>
      </c>
      <c r="I355">
        <v>0</v>
      </c>
      <c r="J355">
        <v>2</v>
      </c>
      <c r="K355">
        <v>1.6</v>
      </c>
    </row>
    <row r="356" spans="1:11" x14ac:dyDescent="0.2">
      <c r="A356" t="s">
        <v>11</v>
      </c>
      <c r="B356">
        <v>37</v>
      </c>
      <c r="C356" t="s">
        <v>20</v>
      </c>
      <c r="D356" t="s">
        <v>13</v>
      </c>
      <c r="E356" t="s">
        <v>33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0.75</v>
      </c>
    </row>
    <row r="357" spans="1:11" x14ac:dyDescent="0.2">
      <c r="A357" t="s">
        <v>11</v>
      </c>
      <c r="B357">
        <v>37</v>
      </c>
      <c r="C357" t="s">
        <v>20</v>
      </c>
      <c r="D357" t="s">
        <v>18</v>
      </c>
      <c r="E357" t="s">
        <v>35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0.75</v>
      </c>
    </row>
    <row r="358" spans="1:11" x14ac:dyDescent="0.2">
      <c r="A358" t="s">
        <v>11</v>
      </c>
      <c r="B358">
        <v>37</v>
      </c>
      <c r="C358" t="s">
        <v>20</v>
      </c>
      <c r="D358" t="s">
        <v>28</v>
      </c>
      <c r="E358" t="s">
        <v>61</v>
      </c>
      <c r="F358">
        <v>2</v>
      </c>
      <c r="G358">
        <v>0</v>
      </c>
      <c r="H358">
        <v>0</v>
      </c>
      <c r="I358">
        <v>0</v>
      </c>
      <c r="J358">
        <v>2</v>
      </c>
      <c r="K358">
        <v>2</v>
      </c>
    </row>
    <row r="359" spans="1:11" x14ac:dyDescent="0.2">
      <c r="A359" t="s">
        <v>11</v>
      </c>
      <c r="B359">
        <v>37</v>
      </c>
      <c r="C359" t="s">
        <v>20</v>
      </c>
      <c r="D359" t="s">
        <v>13</v>
      </c>
      <c r="E359" t="s">
        <v>37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0.1</v>
      </c>
    </row>
    <row r="360" spans="1:11" x14ac:dyDescent="0.2">
      <c r="A360" t="s">
        <v>11</v>
      </c>
      <c r="B360">
        <v>37</v>
      </c>
      <c r="C360" t="s">
        <v>22</v>
      </c>
      <c r="D360" t="s">
        <v>28</v>
      </c>
      <c r="E360" t="s">
        <v>62</v>
      </c>
      <c r="F360">
        <v>0</v>
      </c>
      <c r="G360">
        <v>2</v>
      </c>
      <c r="H360">
        <v>0</v>
      </c>
      <c r="I360">
        <v>0</v>
      </c>
      <c r="J360">
        <v>2</v>
      </c>
      <c r="K360">
        <v>1.5</v>
      </c>
    </row>
    <row r="361" spans="1:11" x14ac:dyDescent="0.2">
      <c r="A361" t="s">
        <v>11</v>
      </c>
      <c r="B361">
        <v>37</v>
      </c>
      <c r="C361" t="s">
        <v>22</v>
      </c>
      <c r="D361" t="s">
        <v>18</v>
      </c>
      <c r="E361" t="s">
        <v>63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0.5</v>
      </c>
    </row>
    <row r="362" spans="1:11" x14ac:dyDescent="0.2">
      <c r="A362" t="s">
        <v>11</v>
      </c>
      <c r="B362">
        <v>37</v>
      </c>
      <c r="C362" t="s">
        <v>17</v>
      </c>
      <c r="D362" t="s">
        <v>13</v>
      </c>
      <c r="E362" t="s">
        <v>41</v>
      </c>
      <c r="F362">
        <v>0</v>
      </c>
      <c r="G362">
        <v>0</v>
      </c>
      <c r="H362">
        <v>0</v>
      </c>
      <c r="I362">
        <v>3</v>
      </c>
      <c r="J362">
        <v>3</v>
      </c>
      <c r="K362">
        <v>0.3</v>
      </c>
    </row>
    <row r="363" spans="1:11" x14ac:dyDescent="0.2">
      <c r="A363" t="s">
        <v>11</v>
      </c>
      <c r="B363">
        <v>37</v>
      </c>
      <c r="C363" t="s">
        <v>42</v>
      </c>
      <c r="D363" t="s">
        <v>28</v>
      </c>
      <c r="E363" t="s">
        <v>43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0.1</v>
      </c>
    </row>
    <row r="364" spans="1:11" x14ac:dyDescent="0.2">
      <c r="A364" t="s">
        <v>11</v>
      </c>
      <c r="B364">
        <v>37</v>
      </c>
      <c r="C364" t="s">
        <v>42</v>
      </c>
      <c r="D364" t="s">
        <v>13</v>
      </c>
      <c r="E364" t="s">
        <v>35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0.75</v>
      </c>
    </row>
    <row r="365" spans="1:11" x14ac:dyDescent="0.2">
      <c r="A365" t="s">
        <v>11</v>
      </c>
      <c r="B365">
        <v>37</v>
      </c>
      <c r="C365" t="s">
        <v>42</v>
      </c>
      <c r="D365" t="s">
        <v>18</v>
      </c>
      <c r="E365" t="s">
        <v>44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0.75</v>
      </c>
    </row>
    <row r="366" spans="1:11" x14ac:dyDescent="0.2">
      <c r="A366" t="s">
        <v>11</v>
      </c>
      <c r="B366">
        <v>37</v>
      </c>
      <c r="C366" t="s">
        <v>42</v>
      </c>
      <c r="D366" t="s">
        <v>13</v>
      </c>
      <c r="E366" t="s">
        <v>64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0.1</v>
      </c>
    </row>
    <row r="367" spans="1:11" x14ac:dyDescent="0.2">
      <c r="A367" t="s">
        <v>11</v>
      </c>
      <c r="B367">
        <v>38</v>
      </c>
      <c r="C367" t="s">
        <v>20</v>
      </c>
      <c r="D367" t="s">
        <v>28</v>
      </c>
      <c r="E367" t="s">
        <v>29</v>
      </c>
      <c r="F367">
        <v>1</v>
      </c>
      <c r="G367">
        <v>1</v>
      </c>
      <c r="H367">
        <v>2</v>
      </c>
      <c r="I367">
        <v>0</v>
      </c>
      <c r="J367">
        <v>4</v>
      </c>
      <c r="K367">
        <v>2.85</v>
      </c>
    </row>
    <row r="368" spans="1:11" x14ac:dyDescent="0.2">
      <c r="A368" t="s">
        <v>11</v>
      </c>
      <c r="B368">
        <v>38</v>
      </c>
      <c r="C368" t="s">
        <v>20</v>
      </c>
      <c r="D368" t="s">
        <v>13</v>
      </c>
      <c r="E368" t="s">
        <v>33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0.75</v>
      </c>
    </row>
    <row r="369" spans="1:11" x14ac:dyDescent="0.2">
      <c r="A369" t="s">
        <v>11</v>
      </c>
      <c r="B369">
        <v>38</v>
      </c>
      <c r="C369" t="s">
        <v>20</v>
      </c>
      <c r="D369" t="s">
        <v>13</v>
      </c>
      <c r="E369" t="s">
        <v>36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0.1</v>
      </c>
    </row>
    <row r="370" spans="1:11" x14ac:dyDescent="0.2">
      <c r="A370" t="s">
        <v>11</v>
      </c>
      <c r="B370">
        <v>38</v>
      </c>
      <c r="C370" t="s">
        <v>45</v>
      </c>
      <c r="D370" t="s">
        <v>13</v>
      </c>
      <c r="E370" t="s">
        <v>47</v>
      </c>
      <c r="F370">
        <v>5</v>
      </c>
      <c r="G370">
        <v>0</v>
      </c>
      <c r="H370">
        <v>0</v>
      </c>
      <c r="I370">
        <v>0</v>
      </c>
      <c r="J370">
        <v>5</v>
      </c>
      <c r="K370">
        <v>5</v>
      </c>
    </row>
    <row r="371" spans="1:11" x14ac:dyDescent="0.2">
      <c r="A371" t="s">
        <v>11</v>
      </c>
      <c r="B371">
        <v>38</v>
      </c>
      <c r="C371" t="s">
        <v>45</v>
      </c>
      <c r="D371" t="s">
        <v>18</v>
      </c>
      <c r="E371" t="s">
        <v>48</v>
      </c>
      <c r="F371">
        <v>0</v>
      </c>
      <c r="G371">
        <v>0</v>
      </c>
      <c r="H371">
        <v>5</v>
      </c>
      <c r="I371">
        <v>0</v>
      </c>
      <c r="J371">
        <v>5</v>
      </c>
      <c r="K371">
        <v>2.5</v>
      </c>
    </row>
    <row r="372" spans="1:11" x14ac:dyDescent="0.2">
      <c r="A372" t="s">
        <v>11</v>
      </c>
      <c r="B372">
        <v>38</v>
      </c>
      <c r="C372" t="s">
        <v>45</v>
      </c>
      <c r="D372" t="s">
        <v>28</v>
      </c>
      <c r="E372" t="s">
        <v>48</v>
      </c>
      <c r="F372">
        <v>0</v>
      </c>
      <c r="G372">
        <v>0</v>
      </c>
      <c r="H372">
        <v>5</v>
      </c>
      <c r="I372">
        <v>0</v>
      </c>
      <c r="J372">
        <v>5</v>
      </c>
      <c r="K372">
        <v>2.5</v>
      </c>
    </row>
    <row r="373" spans="1:11" x14ac:dyDescent="0.2">
      <c r="A373" t="s">
        <v>11</v>
      </c>
      <c r="B373">
        <v>39</v>
      </c>
      <c r="C373" t="s">
        <v>20</v>
      </c>
      <c r="D373" t="s">
        <v>18</v>
      </c>
      <c r="E373" t="s">
        <v>35</v>
      </c>
      <c r="F373">
        <v>0</v>
      </c>
      <c r="G373">
        <v>0</v>
      </c>
      <c r="H373">
        <v>2</v>
      </c>
      <c r="I373">
        <v>0</v>
      </c>
      <c r="J373">
        <v>2</v>
      </c>
      <c r="K373">
        <v>1</v>
      </c>
    </row>
    <row r="374" spans="1:11" x14ac:dyDescent="0.2">
      <c r="A374" t="s">
        <v>11</v>
      </c>
      <c r="B374">
        <v>39</v>
      </c>
      <c r="C374" t="s">
        <v>20</v>
      </c>
      <c r="D374" t="s">
        <v>28</v>
      </c>
      <c r="E374" t="s">
        <v>61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0.5</v>
      </c>
    </row>
    <row r="375" spans="1:11" x14ac:dyDescent="0.2">
      <c r="A375" t="s">
        <v>11</v>
      </c>
      <c r="B375">
        <v>39</v>
      </c>
      <c r="C375" t="s">
        <v>12</v>
      </c>
      <c r="D375" t="s">
        <v>13</v>
      </c>
      <c r="E375" t="s">
        <v>65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0.5</v>
      </c>
    </row>
    <row r="376" spans="1:11" x14ac:dyDescent="0.2">
      <c r="A376" t="s">
        <v>11</v>
      </c>
      <c r="B376">
        <v>39</v>
      </c>
      <c r="C376" t="s">
        <v>22</v>
      </c>
      <c r="D376" t="s">
        <v>13</v>
      </c>
      <c r="E376" t="s">
        <v>65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0.5</v>
      </c>
    </row>
    <row r="377" spans="1:11" x14ac:dyDescent="0.2">
      <c r="A377" t="s">
        <v>11</v>
      </c>
      <c r="B377">
        <v>39</v>
      </c>
      <c r="C377" t="s">
        <v>22</v>
      </c>
      <c r="D377" t="s">
        <v>28</v>
      </c>
      <c r="E377" t="s">
        <v>62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0.6</v>
      </c>
    </row>
    <row r="378" spans="1:11" x14ac:dyDescent="0.2">
      <c r="A378" t="s">
        <v>11</v>
      </c>
      <c r="B378">
        <v>39</v>
      </c>
      <c r="C378" t="s">
        <v>22</v>
      </c>
      <c r="D378" t="s">
        <v>13</v>
      </c>
      <c r="E378" t="s">
        <v>68</v>
      </c>
      <c r="F378">
        <v>0</v>
      </c>
      <c r="G378">
        <v>0</v>
      </c>
      <c r="H378">
        <v>2</v>
      </c>
      <c r="I378">
        <v>0</v>
      </c>
      <c r="J378">
        <v>2</v>
      </c>
      <c r="K378">
        <v>1</v>
      </c>
    </row>
    <row r="379" spans="1:11" x14ac:dyDescent="0.2">
      <c r="A379" t="s">
        <v>11</v>
      </c>
      <c r="B379">
        <v>39</v>
      </c>
      <c r="C379" t="s">
        <v>42</v>
      </c>
      <c r="D379" t="s">
        <v>13</v>
      </c>
      <c r="E379" t="s">
        <v>35</v>
      </c>
      <c r="F379">
        <v>0</v>
      </c>
      <c r="G379">
        <v>0</v>
      </c>
      <c r="H379">
        <v>2</v>
      </c>
      <c r="I379">
        <v>0</v>
      </c>
      <c r="J379">
        <v>2</v>
      </c>
      <c r="K379">
        <v>1</v>
      </c>
    </row>
    <row r="380" spans="1:11" x14ac:dyDescent="0.2">
      <c r="A380" t="s">
        <v>11</v>
      </c>
      <c r="B380">
        <v>39</v>
      </c>
      <c r="C380" t="s">
        <v>42</v>
      </c>
      <c r="D380" t="s">
        <v>18</v>
      </c>
      <c r="E380" t="s">
        <v>44</v>
      </c>
      <c r="F380">
        <v>0</v>
      </c>
      <c r="G380">
        <v>0</v>
      </c>
      <c r="H380">
        <v>2</v>
      </c>
      <c r="I380">
        <v>0</v>
      </c>
      <c r="J380">
        <v>2</v>
      </c>
      <c r="K380">
        <v>1.2</v>
      </c>
    </row>
    <row r="381" spans="1:11" x14ac:dyDescent="0.2">
      <c r="A381" t="s">
        <v>11</v>
      </c>
      <c r="B381">
        <v>40</v>
      </c>
      <c r="C381" t="s">
        <v>20</v>
      </c>
      <c r="D381" t="s">
        <v>28</v>
      </c>
      <c r="E381" t="s">
        <v>29</v>
      </c>
      <c r="F381">
        <v>0</v>
      </c>
      <c r="G381">
        <v>1</v>
      </c>
      <c r="H381">
        <v>0</v>
      </c>
      <c r="I381">
        <v>0</v>
      </c>
      <c r="J381">
        <v>1</v>
      </c>
      <c r="K381">
        <v>0.75</v>
      </c>
    </row>
    <row r="382" spans="1:11" x14ac:dyDescent="0.2">
      <c r="A382" t="s">
        <v>11</v>
      </c>
      <c r="B382">
        <v>40</v>
      </c>
      <c r="C382" t="s">
        <v>20</v>
      </c>
      <c r="D382" t="s">
        <v>18</v>
      </c>
      <c r="E382" t="s">
        <v>35</v>
      </c>
      <c r="F382">
        <v>0</v>
      </c>
      <c r="G382">
        <v>0</v>
      </c>
      <c r="H382">
        <v>2</v>
      </c>
      <c r="I382">
        <v>0</v>
      </c>
      <c r="J382">
        <v>2</v>
      </c>
      <c r="K382">
        <v>1</v>
      </c>
    </row>
    <row r="383" spans="1:11" x14ac:dyDescent="0.2">
      <c r="A383" t="s">
        <v>11</v>
      </c>
      <c r="B383">
        <v>40</v>
      </c>
      <c r="C383" t="s">
        <v>22</v>
      </c>
      <c r="D383" t="s">
        <v>13</v>
      </c>
      <c r="E383" t="s">
        <v>54</v>
      </c>
      <c r="F383">
        <v>0</v>
      </c>
      <c r="G383">
        <v>1</v>
      </c>
      <c r="H383">
        <v>0</v>
      </c>
      <c r="I383">
        <v>1</v>
      </c>
      <c r="J383">
        <v>2</v>
      </c>
      <c r="K383">
        <v>0.85</v>
      </c>
    </row>
    <row r="384" spans="1:11" x14ac:dyDescent="0.2">
      <c r="A384" t="s">
        <v>11</v>
      </c>
      <c r="B384">
        <v>40</v>
      </c>
      <c r="C384" t="s">
        <v>17</v>
      </c>
      <c r="D384" t="s">
        <v>18</v>
      </c>
      <c r="E384" t="s">
        <v>82</v>
      </c>
      <c r="F384">
        <v>1</v>
      </c>
      <c r="G384">
        <v>0</v>
      </c>
      <c r="H384">
        <v>1</v>
      </c>
      <c r="I384">
        <v>0</v>
      </c>
      <c r="J384">
        <v>2</v>
      </c>
      <c r="K384">
        <v>1.5</v>
      </c>
    </row>
    <row r="385" spans="1:11" x14ac:dyDescent="0.2">
      <c r="A385" t="s">
        <v>11</v>
      </c>
      <c r="B385">
        <v>40</v>
      </c>
      <c r="C385" t="s">
        <v>42</v>
      </c>
      <c r="D385" t="s">
        <v>13</v>
      </c>
      <c r="E385" t="s">
        <v>35</v>
      </c>
      <c r="F385">
        <v>0</v>
      </c>
      <c r="G385">
        <v>0</v>
      </c>
      <c r="H385">
        <v>2</v>
      </c>
      <c r="I385">
        <v>0</v>
      </c>
      <c r="J385">
        <v>2</v>
      </c>
      <c r="K385">
        <v>1</v>
      </c>
    </row>
    <row r="386" spans="1:11" x14ac:dyDescent="0.2">
      <c r="A386" t="s">
        <v>11</v>
      </c>
      <c r="B386">
        <v>40</v>
      </c>
      <c r="C386" t="s">
        <v>42</v>
      </c>
      <c r="D386" t="s">
        <v>18</v>
      </c>
      <c r="E386" t="s">
        <v>44</v>
      </c>
      <c r="F386">
        <v>0</v>
      </c>
      <c r="G386">
        <v>0</v>
      </c>
      <c r="H386">
        <v>2</v>
      </c>
      <c r="I386">
        <v>0</v>
      </c>
      <c r="J386">
        <v>2</v>
      </c>
      <c r="K386">
        <v>1.2</v>
      </c>
    </row>
    <row r="387" spans="1:11" x14ac:dyDescent="0.2">
      <c r="A387" t="s">
        <v>11</v>
      </c>
      <c r="B387">
        <v>41</v>
      </c>
      <c r="C387" t="s">
        <v>20</v>
      </c>
      <c r="D387" t="s">
        <v>13</v>
      </c>
      <c r="E387" t="s">
        <v>102</v>
      </c>
      <c r="F387">
        <v>3</v>
      </c>
      <c r="G387">
        <v>1</v>
      </c>
      <c r="H387">
        <v>1</v>
      </c>
      <c r="I387">
        <v>0</v>
      </c>
      <c r="J387">
        <v>5</v>
      </c>
      <c r="K387">
        <v>4.25</v>
      </c>
    </row>
    <row r="388" spans="1:11" x14ac:dyDescent="0.2">
      <c r="A388" t="s">
        <v>11</v>
      </c>
      <c r="B388">
        <v>41</v>
      </c>
      <c r="C388" t="s">
        <v>20</v>
      </c>
      <c r="D388" t="s">
        <v>18</v>
      </c>
      <c r="E388" t="s">
        <v>102</v>
      </c>
      <c r="F388">
        <v>3</v>
      </c>
      <c r="G388">
        <v>1</v>
      </c>
      <c r="H388">
        <v>1</v>
      </c>
      <c r="I388">
        <v>0</v>
      </c>
      <c r="J388">
        <v>5</v>
      </c>
      <c r="K388">
        <v>4.25</v>
      </c>
    </row>
    <row r="389" spans="1:11" x14ac:dyDescent="0.2">
      <c r="A389" t="s">
        <v>11</v>
      </c>
      <c r="B389">
        <v>41</v>
      </c>
      <c r="C389" t="s">
        <v>20</v>
      </c>
      <c r="D389" t="s">
        <v>13</v>
      </c>
      <c r="E389" t="s">
        <v>73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0.75</v>
      </c>
    </row>
    <row r="390" spans="1:11" x14ac:dyDescent="0.2">
      <c r="A390" t="s">
        <v>11</v>
      </c>
      <c r="B390">
        <v>41</v>
      </c>
      <c r="C390" t="s">
        <v>12</v>
      </c>
      <c r="D390" t="s">
        <v>13</v>
      </c>
      <c r="E390" t="s">
        <v>99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0.5</v>
      </c>
    </row>
    <row r="391" spans="1:11" x14ac:dyDescent="0.2">
      <c r="A391" t="s">
        <v>11</v>
      </c>
      <c r="B391">
        <v>41</v>
      </c>
      <c r="C391" t="s">
        <v>15</v>
      </c>
      <c r="D391" t="s">
        <v>13</v>
      </c>
      <c r="E391" t="s">
        <v>103</v>
      </c>
      <c r="F391">
        <v>0</v>
      </c>
      <c r="G391">
        <v>0</v>
      </c>
      <c r="H391">
        <v>2</v>
      </c>
      <c r="I391">
        <v>0</v>
      </c>
      <c r="J391">
        <v>2</v>
      </c>
      <c r="K391">
        <v>1</v>
      </c>
    </row>
    <row r="392" spans="1:11" x14ac:dyDescent="0.2">
      <c r="A392" t="s">
        <v>11</v>
      </c>
      <c r="B392">
        <v>41</v>
      </c>
      <c r="C392" t="s">
        <v>15</v>
      </c>
      <c r="D392" t="s">
        <v>18</v>
      </c>
      <c r="E392" t="s">
        <v>103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1</v>
      </c>
    </row>
    <row r="393" spans="1:11" x14ac:dyDescent="0.2">
      <c r="A393" t="s">
        <v>11</v>
      </c>
      <c r="B393">
        <v>41</v>
      </c>
      <c r="C393" t="s">
        <v>15</v>
      </c>
      <c r="D393" t="s">
        <v>13</v>
      </c>
      <c r="E393" t="s">
        <v>16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1</v>
      </c>
    </row>
    <row r="394" spans="1:11" x14ac:dyDescent="0.2">
      <c r="A394" t="s">
        <v>11</v>
      </c>
      <c r="B394">
        <v>41</v>
      </c>
      <c r="C394" t="s">
        <v>22</v>
      </c>
      <c r="D394" t="s">
        <v>13</v>
      </c>
      <c r="E394" t="s">
        <v>54</v>
      </c>
      <c r="F394">
        <v>0</v>
      </c>
      <c r="G394">
        <v>0</v>
      </c>
      <c r="H394">
        <v>0</v>
      </c>
      <c r="I394">
        <v>3</v>
      </c>
      <c r="J394">
        <v>3</v>
      </c>
      <c r="K394">
        <v>0.3</v>
      </c>
    </row>
    <row r="395" spans="1:11" x14ac:dyDescent="0.2">
      <c r="A395" t="s">
        <v>11</v>
      </c>
      <c r="B395">
        <v>41</v>
      </c>
      <c r="C395" t="s">
        <v>22</v>
      </c>
      <c r="D395" t="s">
        <v>13</v>
      </c>
      <c r="E395" t="s">
        <v>102</v>
      </c>
      <c r="F395">
        <v>3</v>
      </c>
      <c r="G395">
        <v>1</v>
      </c>
      <c r="H395">
        <v>1</v>
      </c>
      <c r="I395">
        <v>0</v>
      </c>
      <c r="J395">
        <v>5</v>
      </c>
      <c r="K395">
        <v>4.25</v>
      </c>
    </row>
    <row r="396" spans="1:11" x14ac:dyDescent="0.2">
      <c r="A396" t="s">
        <v>11</v>
      </c>
      <c r="B396">
        <v>41</v>
      </c>
      <c r="C396" t="s">
        <v>17</v>
      </c>
      <c r="D396" t="s">
        <v>18</v>
      </c>
      <c r="E396" t="s">
        <v>82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0.5</v>
      </c>
    </row>
    <row r="397" spans="1:11" x14ac:dyDescent="0.2">
      <c r="A397" t="s">
        <v>11</v>
      </c>
      <c r="B397">
        <v>41</v>
      </c>
      <c r="C397" t="s">
        <v>17</v>
      </c>
      <c r="D397" t="s">
        <v>13</v>
      </c>
      <c r="E397" t="s">
        <v>59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0.1</v>
      </c>
    </row>
    <row r="398" spans="1:11" x14ac:dyDescent="0.2">
      <c r="A398" t="s">
        <v>11</v>
      </c>
      <c r="B398">
        <v>41</v>
      </c>
      <c r="C398" t="s">
        <v>17</v>
      </c>
      <c r="D398" t="s">
        <v>13</v>
      </c>
      <c r="E398" t="s">
        <v>104</v>
      </c>
      <c r="F398">
        <v>0</v>
      </c>
      <c r="G398">
        <v>0</v>
      </c>
      <c r="H398">
        <v>3</v>
      </c>
      <c r="I398">
        <v>0</v>
      </c>
      <c r="J398">
        <v>3</v>
      </c>
      <c r="K398">
        <v>1.5</v>
      </c>
    </row>
    <row r="399" spans="1:11" x14ac:dyDescent="0.2">
      <c r="A399" t="s">
        <v>11</v>
      </c>
      <c r="B399">
        <v>41</v>
      </c>
      <c r="C399" t="s">
        <v>17</v>
      </c>
      <c r="D399" t="s">
        <v>18</v>
      </c>
      <c r="E399" t="s">
        <v>104</v>
      </c>
      <c r="F399">
        <v>0</v>
      </c>
      <c r="G399">
        <v>0</v>
      </c>
      <c r="H399">
        <v>3</v>
      </c>
      <c r="I399">
        <v>0</v>
      </c>
      <c r="J399">
        <v>3</v>
      </c>
      <c r="K399">
        <v>1.5</v>
      </c>
    </row>
    <row r="400" spans="1:11" x14ac:dyDescent="0.2">
      <c r="A400" t="s">
        <v>11</v>
      </c>
      <c r="B400">
        <v>41</v>
      </c>
      <c r="C400" t="s">
        <v>17</v>
      </c>
      <c r="D400" t="s">
        <v>18</v>
      </c>
      <c r="E400" t="s">
        <v>19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0.75</v>
      </c>
    </row>
    <row r="401" spans="1:11" x14ac:dyDescent="0.2">
      <c r="A401" t="s">
        <v>11</v>
      </c>
      <c r="B401">
        <v>41</v>
      </c>
      <c r="C401" t="s">
        <v>42</v>
      </c>
      <c r="D401" t="s">
        <v>28</v>
      </c>
      <c r="E401" t="s">
        <v>103</v>
      </c>
      <c r="F401">
        <v>0</v>
      </c>
      <c r="G401">
        <v>0</v>
      </c>
      <c r="H401">
        <v>2</v>
      </c>
      <c r="I401">
        <v>0</v>
      </c>
      <c r="J401">
        <v>2</v>
      </c>
      <c r="K401">
        <v>1</v>
      </c>
    </row>
    <row r="402" spans="1:11" x14ac:dyDescent="0.2">
      <c r="A402" t="s">
        <v>11</v>
      </c>
      <c r="B402">
        <v>41</v>
      </c>
      <c r="C402" t="s">
        <v>42</v>
      </c>
      <c r="D402" t="s">
        <v>28</v>
      </c>
      <c r="E402" t="s">
        <v>51</v>
      </c>
      <c r="F402">
        <v>0</v>
      </c>
      <c r="G402">
        <v>3</v>
      </c>
      <c r="H402">
        <v>0</v>
      </c>
      <c r="I402">
        <v>0</v>
      </c>
      <c r="J402">
        <v>3</v>
      </c>
      <c r="K402">
        <v>2.25</v>
      </c>
    </row>
    <row r="403" spans="1:11" x14ac:dyDescent="0.2">
      <c r="A403" t="s">
        <v>11</v>
      </c>
      <c r="B403">
        <v>41</v>
      </c>
      <c r="C403" t="s">
        <v>42</v>
      </c>
      <c r="D403" t="s">
        <v>13</v>
      </c>
      <c r="E403" t="s">
        <v>70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0.1</v>
      </c>
    </row>
    <row r="404" spans="1:11" x14ac:dyDescent="0.2">
      <c r="A404" t="s">
        <v>11</v>
      </c>
      <c r="B404">
        <v>41</v>
      </c>
      <c r="C404" t="s">
        <v>45</v>
      </c>
      <c r="D404" t="s">
        <v>18</v>
      </c>
      <c r="E404" t="s">
        <v>105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0.5</v>
      </c>
    </row>
    <row r="405" spans="1:11" x14ac:dyDescent="0.2">
      <c r="A405" t="s">
        <v>11</v>
      </c>
      <c r="B405">
        <v>42</v>
      </c>
      <c r="C405" t="s">
        <v>20</v>
      </c>
      <c r="D405" t="s">
        <v>28</v>
      </c>
      <c r="E405" t="s">
        <v>29</v>
      </c>
      <c r="F405">
        <v>1</v>
      </c>
      <c r="G405">
        <v>0</v>
      </c>
      <c r="H405">
        <v>1</v>
      </c>
      <c r="I405">
        <v>0</v>
      </c>
      <c r="J405">
        <v>2</v>
      </c>
      <c r="K405">
        <v>1.6</v>
      </c>
    </row>
    <row r="406" spans="1:11" x14ac:dyDescent="0.2">
      <c r="A406" t="s">
        <v>11</v>
      </c>
      <c r="B406">
        <v>42</v>
      </c>
      <c r="C406" t="s">
        <v>20</v>
      </c>
      <c r="D406" t="s">
        <v>13</v>
      </c>
      <c r="E406" t="s">
        <v>32</v>
      </c>
      <c r="F406">
        <v>2</v>
      </c>
      <c r="G406">
        <v>0</v>
      </c>
      <c r="H406">
        <v>0</v>
      </c>
      <c r="I406">
        <v>0</v>
      </c>
      <c r="J406">
        <v>2</v>
      </c>
      <c r="K406">
        <v>2</v>
      </c>
    </row>
    <row r="407" spans="1:11" x14ac:dyDescent="0.2">
      <c r="A407" t="s">
        <v>11</v>
      </c>
      <c r="B407">
        <v>42</v>
      </c>
      <c r="C407" t="s">
        <v>20</v>
      </c>
      <c r="D407" t="s">
        <v>13</v>
      </c>
      <c r="E407" t="s">
        <v>102</v>
      </c>
      <c r="F407">
        <v>4</v>
      </c>
      <c r="G407">
        <v>0</v>
      </c>
      <c r="H407">
        <v>2</v>
      </c>
      <c r="I407">
        <v>0</v>
      </c>
      <c r="J407">
        <v>6</v>
      </c>
      <c r="K407">
        <v>5</v>
      </c>
    </row>
    <row r="408" spans="1:11" x14ac:dyDescent="0.2">
      <c r="A408" t="s">
        <v>11</v>
      </c>
      <c r="B408">
        <v>42</v>
      </c>
      <c r="C408" t="s">
        <v>20</v>
      </c>
      <c r="D408" t="s">
        <v>18</v>
      </c>
      <c r="E408" t="s">
        <v>102</v>
      </c>
      <c r="F408">
        <v>4</v>
      </c>
      <c r="G408">
        <v>0</v>
      </c>
      <c r="H408">
        <v>2</v>
      </c>
      <c r="I408">
        <v>0</v>
      </c>
      <c r="J408">
        <v>6</v>
      </c>
      <c r="K408">
        <v>5</v>
      </c>
    </row>
    <row r="409" spans="1:11" x14ac:dyDescent="0.2">
      <c r="A409" t="s">
        <v>11</v>
      </c>
      <c r="B409">
        <v>42</v>
      </c>
      <c r="C409" t="s">
        <v>20</v>
      </c>
      <c r="D409" t="s">
        <v>13</v>
      </c>
      <c r="E409" t="s">
        <v>81</v>
      </c>
      <c r="F409">
        <v>0</v>
      </c>
      <c r="G409">
        <v>0</v>
      </c>
      <c r="H409">
        <v>2</v>
      </c>
      <c r="I409">
        <v>0</v>
      </c>
      <c r="J409">
        <v>2</v>
      </c>
      <c r="K409">
        <v>1</v>
      </c>
    </row>
    <row r="410" spans="1:11" x14ac:dyDescent="0.2">
      <c r="A410" t="s">
        <v>11</v>
      </c>
      <c r="B410">
        <v>42</v>
      </c>
      <c r="C410" t="s">
        <v>20</v>
      </c>
      <c r="D410" t="s">
        <v>13</v>
      </c>
      <c r="E410" t="s">
        <v>73</v>
      </c>
      <c r="F410">
        <v>0</v>
      </c>
      <c r="G410">
        <v>2</v>
      </c>
      <c r="H410">
        <v>1</v>
      </c>
      <c r="I410">
        <v>0</v>
      </c>
      <c r="J410">
        <v>3</v>
      </c>
      <c r="K410">
        <v>2</v>
      </c>
    </row>
    <row r="411" spans="1:11" x14ac:dyDescent="0.2">
      <c r="A411" t="s">
        <v>11</v>
      </c>
      <c r="B411">
        <v>42</v>
      </c>
      <c r="C411" t="s">
        <v>20</v>
      </c>
      <c r="D411" t="s">
        <v>18</v>
      </c>
      <c r="E411" t="s">
        <v>106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0.5</v>
      </c>
    </row>
    <row r="412" spans="1:11" x14ac:dyDescent="0.2">
      <c r="A412" t="s">
        <v>11</v>
      </c>
      <c r="B412">
        <v>42</v>
      </c>
      <c r="C412" t="s">
        <v>20</v>
      </c>
      <c r="D412" t="s">
        <v>13</v>
      </c>
      <c r="E412" t="s">
        <v>33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0.75</v>
      </c>
    </row>
    <row r="413" spans="1:11" x14ac:dyDescent="0.2">
      <c r="A413" t="s">
        <v>11</v>
      </c>
      <c r="B413">
        <v>42</v>
      </c>
      <c r="C413" t="s">
        <v>12</v>
      </c>
      <c r="D413" t="s">
        <v>13</v>
      </c>
      <c r="E413" t="s">
        <v>65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0.6</v>
      </c>
    </row>
    <row r="414" spans="1:11" x14ac:dyDescent="0.2">
      <c r="A414" t="s">
        <v>11</v>
      </c>
      <c r="B414">
        <v>42</v>
      </c>
      <c r="C414" t="s">
        <v>12</v>
      </c>
      <c r="D414" t="s">
        <v>13</v>
      </c>
      <c r="E414" t="s">
        <v>74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0.5</v>
      </c>
    </row>
    <row r="415" spans="1:11" x14ac:dyDescent="0.2">
      <c r="A415" t="s">
        <v>11</v>
      </c>
      <c r="B415">
        <v>42</v>
      </c>
      <c r="C415" t="s">
        <v>12</v>
      </c>
      <c r="D415" t="s">
        <v>13</v>
      </c>
      <c r="E415" t="s">
        <v>99</v>
      </c>
      <c r="F415">
        <v>0</v>
      </c>
      <c r="G415">
        <v>0</v>
      </c>
      <c r="H415">
        <v>2</v>
      </c>
      <c r="I415">
        <v>0</v>
      </c>
      <c r="J415">
        <v>2</v>
      </c>
      <c r="K415">
        <v>1</v>
      </c>
    </row>
    <row r="416" spans="1:11" x14ac:dyDescent="0.2">
      <c r="A416" t="s">
        <v>11</v>
      </c>
      <c r="B416">
        <v>42</v>
      </c>
      <c r="C416" t="s">
        <v>15</v>
      </c>
      <c r="D416" t="s">
        <v>13</v>
      </c>
      <c r="E416" t="s">
        <v>103</v>
      </c>
      <c r="F416">
        <v>0</v>
      </c>
      <c r="G416">
        <v>0</v>
      </c>
      <c r="H416">
        <v>1</v>
      </c>
      <c r="I416">
        <v>1</v>
      </c>
      <c r="J416">
        <v>2</v>
      </c>
      <c r="K416">
        <v>0.6</v>
      </c>
    </row>
    <row r="417" spans="1:11" x14ac:dyDescent="0.2">
      <c r="A417" t="s">
        <v>11</v>
      </c>
      <c r="B417">
        <v>42</v>
      </c>
      <c r="C417" t="s">
        <v>15</v>
      </c>
      <c r="D417" t="s">
        <v>18</v>
      </c>
      <c r="E417" t="s">
        <v>103</v>
      </c>
      <c r="F417">
        <v>0</v>
      </c>
      <c r="G417">
        <v>0</v>
      </c>
      <c r="H417">
        <v>1</v>
      </c>
      <c r="I417">
        <v>1</v>
      </c>
      <c r="J417">
        <v>2</v>
      </c>
      <c r="K417">
        <v>0.6</v>
      </c>
    </row>
    <row r="418" spans="1:11" x14ac:dyDescent="0.2">
      <c r="A418" t="s">
        <v>11</v>
      </c>
      <c r="B418">
        <v>42</v>
      </c>
      <c r="C418" t="s">
        <v>15</v>
      </c>
      <c r="D418" t="s">
        <v>13</v>
      </c>
      <c r="E418" t="s">
        <v>81</v>
      </c>
      <c r="F418">
        <v>0</v>
      </c>
      <c r="G418">
        <v>0</v>
      </c>
      <c r="H418">
        <v>2</v>
      </c>
      <c r="I418">
        <v>0</v>
      </c>
      <c r="J418">
        <v>2</v>
      </c>
      <c r="K418">
        <v>1</v>
      </c>
    </row>
    <row r="419" spans="1:11" x14ac:dyDescent="0.2">
      <c r="A419" t="s">
        <v>11</v>
      </c>
      <c r="B419">
        <v>42</v>
      </c>
      <c r="C419" t="s">
        <v>22</v>
      </c>
      <c r="D419" t="s">
        <v>13</v>
      </c>
      <c r="E419" t="s">
        <v>54</v>
      </c>
      <c r="F419">
        <v>0</v>
      </c>
      <c r="G419">
        <v>0</v>
      </c>
      <c r="H419">
        <v>0</v>
      </c>
      <c r="I419">
        <v>3</v>
      </c>
      <c r="J419">
        <v>3</v>
      </c>
      <c r="K419">
        <v>0.3</v>
      </c>
    </row>
    <row r="420" spans="1:11" x14ac:dyDescent="0.2">
      <c r="A420" t="s">
        <v>11</v>
      </c>
      <c r="B420">
        <v>42</v>
      </c>
      <c r="C420" t="s">
        <v>22</v>
      </c>
      <c r="D420" t="s">
        <v>13</v>
      </c>
      <c r="E420" t="s">
        <v>25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0.5</v>
      </c>
    </row>
    <row r="421" spans="1:11" x14ac:dyDescent="0.2">
      <c r="A421" t="s">
        <v>11</v>
      </c>
      <c r="B421">
        <v>42</v>
      </c>
      <c r="C421" t="s">
        <v>22</v>
      </c>
      <c r="D421" t="s">
        <v>13</v>
      </c>
      <c r="E421" t="s">
        <v>65</v>
      </c>
      <c r="F421">
        <v>0</v>
      </c>
      <c r="G421">
        <v>0</v>
      </c>
      <c r="H421">
        <v>1</v>
      </c>
      <c r="I421">
        <v>0</v>
      </c>
      <c r="J421">
        <v>1</v>
      </c>
      <c r="K421">
        <v>0.6</v>
      </c>
    </row>
    <row r="422" spans="1:11" x14ac:dyDescent="0.2">
      <c r="A422" t="s">
        <v>11</v>
      </c>
      <c r="B422">
        <v>42</v>
      </c>
      <c r="C422" t="s">
        <v>22</v>
      </c>
      <c r="D422" t="s">
        <v>13</v>
      </c>
      <c r="E422" t="s">
        <v>102</v>
      </c>
      <c r="F422">
        <v>4</v>
      </c>
      <c r="G422">
        <v>0</v>
      </c>
      <c r="H422">
        <v>2</v>
      </c>
      <c r="I422">
        <v>0</v>
      </c>
      <c r="J422">
        <v>6</v>
      </c>
      <c r="K422">
        <v>5</v>
      </c>
    </row>
    <row r="423" spans="1:11" x14ac:dyDescent="0.2">
      <c r="A423" t="s">
        <v>11</v>
      </c>
      <c r="B423">
        <v>42</v>
      </c>
      <c r="C423" t="s">
        <v>22</v>
      </c>
      <c r="D423" t="s">
        <v>13</v>
      </c>
      <c r="E423" t="s">
        <v>81</v>
      </c>
      <c r="F423">
        <v>0</v>
      </c>
      <c r="G423">
        <v>0</v>
      </c>
      <c r="H423">
        <v>2</v>
      </c>
      <c r="I423">
        <v>0</v>
      </c>
      <c r="J423">
        <v>2</v>
      </c>
      <c r="K423">
        <v>1</v>
      </c>
    </row>
    <row r="424" spans="1:11" x14ac:dyDescent="0.2">
      <c r="A424" t="s">
        <v>11</v>
      </c>
      <c r="B424">
        <v>42</v>
      </c>
      <c r="C424" t="s">
        <v>17</v>
      </c>
      <c r="D424" t="s">
        <v>13</v>
      </c>
      <c r="E424" t="s">
        <v>59</v>
      </c>
      <c r="F424">
        <v>0</v>
      </c>
      <c r="G424">
        <v>0</v>
      </c>
      <c r="H424">
        <v>1</v>
      </c>
      <c r="I424">
        <v>0</v>
      </c>
      <c r="J424">
        <v>1</v>
      </c>
      <c r="K424">
        <v>0.5</v>
      </c>
    </row>
    <row r="425" spans="1:11" x14ac:dyDescent="0.2">
      <c r="A425" t="s">
        <v>11</v>
      </c>
      <c r="B425">
        <v>42</v>
      </c>
      <c r="C425" t="s">
        <v>17</v>
      </c>
      <c r="D425" t="s">
        <v>13</v>
      </c>
      <c r="E425" t="s">
        <v>40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0.1</v>
      </c>
    </row>
    <row r="426" spans="1:11" x14ac:dyDescent="0.2">
      <c r="A426" t="s">
        <v>11</v>
      </c>
      <c r="B426">
        <v>42</v>
      </c>
      <c r="C426" t="s">
        <v>17</v>
      </c>
      <c r="D426" t="s">
        <v>28</v>
      </c>
      <c r="E426" t="s">
        <v>107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0.5</v>
      </c>
    </row>
    <row r="427" spans="1:11" x14ac:dyDescent="0.2">
      <c r="A427" t="s">
        <v>11</v>
      </c>
      <c r="B427">
        <v>42</v>
      </c>
      <c r="C427" t="s">
        <v>17</v>
      </c>
      <c r="D427" t="s">
        <v>13</v>
      </c>
      <c r="E427" t="s">
        <v>69</v>
      </c>
      <c r="F427">
        <v>0</v>
      </c>
      <c r="G427">
        <v>0</v>
      </c>
      <c r="H427">
        <v>2</v>
      </c>
      <c r="I427">
        <v>0</v>
      </c>
      <c r="J427">
        <v>2</v>
      </c>
      <c r="K427">
        <v>1</v>
      </c>
    </row>
    <row r="428" spans="1:11" x14ac:dyDescent="0.2">
      <c r="A428" t="s">
        <v>11</v>
      </c>
      <c r="B428">
        <v>42</v>
      </c>
      <c r="C428" t="s">
        <v>17</v>
      </c>
      <c r="D428" t="s">
        <v>18</v>
      </c>
      <c r="E428" t="s">
        <v>69</v>
      </c>
      <c r="F428">
        <v>0</v>
      </c>
      <c r="G428">
        <v>0</v>
      </c>
      <c r="H428">
        <v>2</v>
      </c>
      <c r="I428">
        <v>0</v>
      </c>
      <c r="J428">
        <v>2</v>
      </c>
      <c r="K428">
        <v>1</v>
      </c>
    </row>
    <row r="429" spans="1:11" x14ac:dyDescent="0.2">
      <c r="A429" t="s">
        <v>11</v>
      </c>
      <c r="B429">
        <v>42</v>
      </c>
      <c r="C429" t="s">
        <v>42</v>
      </c>
      <c r="D429" t="s">
        <v>28</v>
      </c>
      <c r="E429" t="s">
        <v>103</v>
      </c>
      <c r="F429">
        <v>0</v>
      </c>
      <c r="G429">
        <v>0</v>
      </c>
      <c r="H429">
        <v>1</v>
      </c>
      <c r="I429">
        <v>1</v>
      </c>
      <c r="J429">
        <v>2</v>
      </c>
      <c r="K429">
        <v>0.6</v>
      </c>
    </row>
    <row r="430" spans="1:11" x14ac:dyDescent="0.2">
      <c r="A430" t="s">
        <v>11</v>
      </c>
      <c r="B430">
        <v>42</v>
      </c>
      <c r="C430" t="s">
        <v>42</v>
      </c>
      <c r="D430" t="s">
        <v>18</v>
      </c>
      <c r="E430" t="s">
        <v>108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0.1</v>
      </c>
    </row>
    <row r="431" spans="1:11" x14ac:dyDescent="0.2">
      <c r="A431" t="s">
        <v>11</v>
      </c>
      <c r="B431">
        <v>42</v>
      </c>
      <c r="C431" t="s">
        <v>42</v>
      </c>
      <c r="D431" t="s">
        <v>13</v>
      </c>
      <c r="E431" t="s">
        <v>81</v>
      </c>
      <c r="F431">
        <v>0</v>
      </c>
      <c r="G431">
        <v>0</v>
      </c>
      <c r="H431">
        <v>2</v>
      </c>
      <c r="I431">
        <v>0</v>
      </c>
      <c r="J431">
        <v>2</v>
      </c>
      <c r="K431">
        <v>1</v>
      </c>
    </row>
    <row r="432" spans="1:11" x14ac:dyDescent="0.2">
      <c r="A432" t="s">
        <v>11</v>
      </c>
      <c r="B432">
        <v>42</v>
      </c>
      <c r="C432" t="s">
        <v>42</v>
      </c>
      <c r="D432" t="s">
        <v>28</v>
      </c>
      <c r="E432" t="s">
        <v>51</v>
      </c>
      <c r="F432">
        <v>0</v>
      </c>
      <c r="G432">
        <v>1</v>
      </c>
      <c r="H432">
        <v>0</v>
      </c>
      <c r="I432">
        <v>0</v>
      </c>
      <c r="J432">
        <v>1</v>
      </c>
      <c r="K432">
        <v>0.75</v>
      </c>
    </row>
    <row r="433" spans="1:11" x14ac:dyDescent="0.2">
      <c r="A433" t="s">
        <v>11</v>
      </c>
      <c r="B433">
        <v>42</v>
      </c>
      <c r="C433" t="s">
        <v>42</v>
      </c>
      <c r="D433" t="s">
        <v>13</v>
      </c>
      <c r="E433" t="s">
        <v>70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0.1</v>
      </c>
    </row>
    <row r="434" spans="1:11" x14ac:dyDescent="0.2">
      <c r="A434" t="s">
        <v>11</v>
      </c>
      <c r="B434">
        <v>42</v>
      </c>
      <c r="C434" t="s">
        <v>42</v>
      </c>
      <c r="D434" t="s">
        <v>13</v>
      </c>
      <c r="E434" t="s">
        <v>56</v>
      </c>
      <c r="F434">
        <v>0</v>
      </c>
      <c r="G434">
        <v>0</v>
      </c>
      <c r="H434">
        <v>2</v>
      </c>
      <c r="I434">
        <v>0</v>
      </c>
      <c r="J434">
        <v>2</v>
      </c>
      <c r="K434">
        <v>1</v>
      </c>
    </row>
    <row r="435" spans="1:11" x14ac:dyDescent="0.2">
      <c r="A435" t="s">
        <v>11</v>
      </c>
      <c r="B435">
        <v>42</v>
      </c>
      <c r="C435" t="s">
        <v>45</v>
      </c>
      <c r="D435" t="s">
        <v>13</v>
      </c>
      <c r="E435" t="s">
        <v>83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1</v>
      </c>
    </row>
    <row r="436" spans="1:11" x14ac:dyDescent="0.2">
      <c r="A436" t="s">
        <v>11</v>
      </c>
      <c r="B436">
        <v>42</v>
      </c>
      <c r="C436" t="s">
        <v>45</v>
      </c>
      <c r="D436" t="s">
        <v>13</v>
      </c>
      <c r="E436" t="s">
        <v>84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1</v>
      </c>
    </row>
    <row r="437" spans="1:11" x14ac:dyDescent="0.2">
      <c r="A437" t="s">
        <v>11</v>
      </c>
      <c r="B437">
        <v>42</v>
      </c>
      <c r="C437" t="s">
        <v>45</v>
      </c>
      <c r="D437" t="s">
        <v>18</v>
      </c>
      <c r="E437" t="s">
        <v>105</v>
      </c>
      <c r="F437">
        <v>0</v>
      </c>
      <c r="G437">
        <v>0</v>
      </c>
      <c r="H437">
        <v>3</v>
      </c>
      <c r="I437">
        <v>0</v>
      </c>
      <c r="J437">
        <v>3</v>
      </c>
      <c r="K437">
        <v>1.5</v>
      </c>
    </row>
    <row r="438" spans="1:11" x14ac:dyDescent="0.2">
      <c r="A438" t="s">
        <v>11</v>
      </c>
      <c r="B438">
        <v>42</v>
      </c>
      <c r="C438" t="s">
        <v>45</v>
      </c>
      <c r="D438" t="s">
        <v>13</v>
      </c>
      <c r="E438" t="s">
        <v>106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0.5</v>
      </c>
    </row>
    <row r="439" spans="1:11" x14ac:dyDescent="0.2">
      <c r="A439" t="s">
        <v>11</v>
      </c>
      <c r="B439">
        <v>42</v>
      </c>
      <c r="C439" t="s">
        <v>45</v>
      </c>
      <c r="D439" t="s">
        <v>18</v>
      </c>
      <c r="E439" t="s">
        <v>107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0.5</v>
      </c>
    </row>
    <row r="440" spans="1:11" x14ac:dyDescent="0.2">
      <c r="A440" t="s">
        <v>11</v>
      </c>
      <c r="B440">
        <v>43</v>
      </c>
      <c r="C440" t="s">
        <v>20</v>
      </c>
      <c r="D440" t="s">
        <v>13</v>
      </c>
      <c r="E440" t="s">
        <v>37</v>
      </c>
      <c r="F440">
        <v>2</v>
      </c>
      <c r="G440">
        <v>0</v>
      </c>
      <c r="H440">
        <v>0</v>
      </c>
      <c r="I440">
        <v>0</v>
      </c>
      <c r="J440">
        <v>2</v>
      </c>
      <c r="K440">
        <v>2</v>
      </c>
    </row>
    <row r="441" spans="1:11" x14ac:dyDescent="0.2">
      <c r="A441" t="s">
        <v>11</v>
      </c>
      <c r="B441">
        <v>43</v>
      </c>
      <c r="C441" t="s">
        <v>12</v>
      </c>
      <c r="D441" t="s">
        <v>13</v>
      </c>
      <c r="E441" t="s">
        <v>14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1</v>
      </c>
    </row>
    <row r="442" spans="1:11" x14ac:dyDescent="0.2">
      <c r="A442" t="s">
        <v>11</v>
      </c>
      <c r="B442">
        <v>43</v>
      </c>
      <c r="C442" t="s">
        <v>12</v>
      </c>
      <c r="D442" t="s">
        <v>13</v>
      </c>
      <c r="E442" t="s">
        <v>65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0.1</v>
      </c>
    </row>
    <row r="443" spans="1:11" x14ac:dyDescent="0.2">
      <c r="A443" t="s">
        <v>11</v>
      </c>
      <c r="B443">
        <v>43</v>
      </c>
      <c r="C443" t="s">
        <v>15</v>
      </c>
      <c r="D443" t="s">
        <v>13</v>
      </c>
      <c r="E443" t="s">
        <v>39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0.5</v>
      </c>
    </row>
    <row r="444" spans="1:11" x14ac:dyDescent="0.2">
      <c r="A444" t="s">
        <v>11</v>
      </c>
      <c r="B444">
        <v>43</v>
      </c>
      <c r="C444" t="s">
        <v>22</v>
      </c>
      <c r="D444" t="s">
        <v>13</v>
      </c>
      <c r="E444" t="s">
        <v>65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0.1</v>
      </c>
    </row>
    <row r="445" spans="1:11" x14ac:dyDescent="0.2">
      <c r="A445" t="s">
        <v>11</v>
      </c>
      <c r="B445">
        <v>43</v>
      </c>
      <c r="C445" t="s">
        <v>42</v>
      </c>
      <c r="D445" t="s">
        <v>28</v>
      </c>
      <c r="E445" t="s">
        <v>43</v>
      </c>
      <c r="F445">
        <v>0</v>
      </c>
      <c r="G445">
        <v>2</v>
      </c>
      <c r="H445">
        <v>0</v>
      </c>
      <c r="I445">
        <v>0</v>
      </c>
      <c r="J445">
        <v>2</v>
      </c>
      <c r="K445">
        <v>1.5</v>
      </c>
    </row>
    <row r="446" spans="1:11" x14ac:dyDescent="0.2">
      <c r="A446" t="s">
        <v>11</v>
      </c>
      <c r="B446">
        <v>43</v>
      </c>
      <c r="C446" t="s">
        <v>45</v>
      </c>
      <c r="D446" t="s">
        <v>18</v>
      </c>
      <c r="E446" t="s">
        <v>60</v>
      </c>
      <c r="F446">
        <v>0</v>
      </c>
      <c r="G446">
        <v>0</v>
      </c>
      <c r="H446">
        <v>3</v>
      </c>
      <c r="I446">
        <v>0</v>
      </c>
      <c r="J446">
        <v>3</v>
      </c>
      <c r="K446">
        <v>1.5</v>
      </c>
    </row>
    <row r="447" spans="1:11" x14ac:dyDescent="0.2">
      <c r="A447" t="s">
        <v>11</v>
      </c>
      <c r="B447">
        <v>44</v>
      </c>
      <c r="C447" t="s">
        <v>20</v>
      </c>
      <c r="D447" t="s">
        <v>13</v>
      </c>
      <c r="E447" t="s">
        <v>33</v>
      </c>
      <c r="F447">
        <v>0</v>
      </c>
      <c r="G447">
        <v>1</v>
      </c>
      <c r="H447">
        <v>0</v>
      </c>
      <c r="I447">
        <v>0</v>
      </c>
      <c r="J447">
        <v>1</v>
      </c>
      <c r="K447">
        <v>0.75</v>
      </c>
    </row>
    <row r="448" spans="1:11" x14ac:dyDescent="0.2">
      <c r="A448" t="s">
        <v>11</v>
      </c>
      <c r="B448">
        <v>44</v>
      </c>
      <c r="C448" t="s">
        <v>42</v>
      </c>
      <c r="D448" t="s">
        <v>13</v>
      </c>
      <c r="E448" t="s">
        <v>52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0.5</v>
      </c>
    </row>
    <row r="449" spans="1:11" x14ac:dyDescent="0.2">
      <c r="A449" t="s">
        <v>11</v>
      </c>
      <c r="B449">
        <v>45</v>
      </c>
      <c r="C449" t="s">
        <v>20</v>
      </c>
      <c r="D449" t="s">
        <v>13</v>
      </c>
      <c r="E449" t="s">
        <v>33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0.75</v>
      </c>
    </row>
    <row r="450" spans="1:11" x14ac:dyDescent="0.2">
      <c r="A450" t="s">
        <v>11</v>
      </c>
      <c r="B450">
        <v>45</v>
      </c>
      <c r="C450" t="s">
        <v>20</v>
      </c>
      <c r="D450" t="s">
        <v>13</v>
      </c>
      <c r="E450" t="s">
        <v>36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0.1</v>
      </c>
    </row>
    <row r="451" spans="1:11" x14ac:dyDescent="0.2">
      <c r="A451" t="s">
        <v>11</v>
      </c>
      <c r="B451">
        <v>45</v>
      </c>
      <c r="C451" t="s">
        <v>20</v>
      </c>
      <c r="D451" t="s">
        <v>13</v>
      </c>
      <c r="E451" t="s">
        <v>37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0.5</v>
      </c>
    </row>
    <row r="452" spans="1:11" x14ac:dyDescent="0.2">
      <c r="A452" t="s">
        <v>11</v>
      </c>
      <c r="B452">
        <v>45</v>
      </c>
      <c r="C452" t="s">
        <v>12</v>
      </c>
      <c r="D452" t="s">
        <v>13</v>
      </c>
      <c r="E452" t="s">
        <v>74</v>
      </c>
      <c r="F452">
        <v>4</v>
      </c>
      <c r="G452">
        <v>0</v>
      </c>
      <c r="H452">
        <v>5</v>
      </c>
      <c r="I452">
        <v>0</v>
      </c>
      <c r="J452">
        <v>9</v>
      </c>
      <c r="K452">
        <v>6.5</v>
      </c>
    </row>
    <row r="453" spans="1:11" x14ac:dyDescent="0.2">
      <c r="A453" t="s">
        <v>11</v>
      </c>
      <c r="B453">
        <v>45</v>
      </c>
      <c r="C453" t="s">
        <v>12</v>
      </c>
      <c r="D453" t="s">
        <v>13</v>
      </c>
      <c r="E453" t="s">
        <v>66</v>
      </c>
      <c r="F453">
        <v>2</v>
      </c>
      <c r="G453">
        <v>0</v>
      </c>
      <c r="H453">
        <v>0</v>
      </c>
      <c r="I453">
        <v>0</v>
      </c>
      <c r="J453">
        <v>2</v>
      </c>
      <c r="K453">
        <v>2</v>
      </c>
    </row>
    <row r="454" spans="1:11" x14ac:dyDescent="0.2">
      <c r="A454" t="s">
        <v>11</v>
      </c>
      <c r="B454">
        <v>45</v>
      </c>
      <c r="C454" t="s">
        <v>22</v>
      </c>
      <c r="D454" t="s">
        <v>13</v>
      </c>
      <c r="E454" t="s">
        <v>54</v>
      </c>
      <c r="F454">
        <v>0</v>
      </c>
      <c r="G454">
        <v>0</v>
      </c>
      <c r="H454">
        <v>0</v>
      </c>
      <c r="I454">
        <v>2</v>
      </c>
      <c r="J454">
        <v>2</v>
      </c>
      <c r="K454">
        <v>0.2</v>
      </c>
    </row>
    <row r="455" spans="1:11" x14ac:dyDescent="0.2">
      <c r="A455" t="s">
        <v>11</v>
      </c>
      <c r="B455">
        <v>45</v>
      </c>
      <c r="C455" t="s">
        <v>22</v>
      </c>
      <c r="D455" t="s">
        <v>13</v>
      </c>
      <c r="E455" t="s">
        <v>25</v>
      </c>
      <c r="F455">
        <v>0</v>
      </c>
      <c r="G455">
        <v>0</v>
      </c>
      <c r="H455">
        <v>0</v>
      </c>
      <c r="I455">
        <v>2</v>
      </c>
      <c r="J455">
        <v>2</v>
      </c>
      <c r="K455">
        <v>0.2</v>
      </c>
    </row>
    <row r="456" spans="1:11" x14ac:dyDescent="0.2">
      <c r="A456" t="s">
        <v>11</v>
      </c>
      <c r="B456">
        <v>45</v>
      </c>
      <c r="C456" t="s">
        <v>22</v>
      </c>
      <c r="D456" t="s">
        <v>13</v>
      </c>
      <c r="E456" t="s">
        <v>55</v>
      </c>
      <c r="F456">
        <v>0</v>
      </c>
      <c r="G456">
        <v>2</v>
      </c>
      <c r="H456">
        <v>0</v>
      </c>
      <c r="I456">
        <v>0</v>
      </c>
      <c r="J456">
        <v>2</v>
      </c>
      <c r="K456">
        <v>1.5</v>
      </c>
    </row>
    <row r="457" spans="1:11" x14ac:dyDescent="0.2">
      <c r="A457" t="s">
        <v>11</v>
      </c>
      <c r="B457">
        <v>45</v>
      </c>
      <c r="C457" t="s">
        <v>17</v>
      </c>
      <c r="D457" t="s">
        <v>13</v>
      </c>
      <c r="E457" t="s">
        <v>40</v>
      </c>
      <c r="F457">
        <v>0</v>
      </c>
      <c r="G457">
        <v>0</v>
      </c>
      <c r="H457">
        <v>0</v>
      </c>
      <c r="I457">
        <v>2</v>
      </c>
      <c r="J457">
        <v>2</v>
      </c>
      <c r="K457">
        <v>0.2</v>
      </c>
    </row>
    <row r="458" spans="1:11" x14ac:dyDescent="0.2">
      <c r="A458" t="s">
        <v>11</v>
      </c>
      <c r="B458">
        <v>45</v>
      </c>
      <c r="C458" t="s">
        <v>17</v>
      </c>
      <c r="D458" t="s">
        <v>13</v>
      </c>
      <c r="E458" t="s">
        <v>66</v>
      </c>
      <c r="F458">
        <v>2</v>
      </c>
      <c r="G458">
        <v>0</v>
      </c>
      <c r="H458">
        <v>0</v>
      </c>
      <c r="I458">
        <v>0</v>
      </c>
      <c r="J458">
        <v>2</v>
      </c>
      <c r="K458">
        <v>2</v>
      </c>
    </row>
    <row r="459" spans="1:11" x14ac:dyDescent="0.2">
      <c r="A459" t="s">
        <v>11</v>
      </c>
      <c r="B459">
        <v>45</v>
      </c>
      <c r="C459" t="s">
        <v>17</v>
      </c>
      <c r="D459" t="s">
        <v>13</v>
      </c>
      <c r="E459" t="s">
        <v>109</v>
      </c>
      <c r="F459">
        <v>0</v>
      </c>
      <c r="G459">
        <v>2</v>
      </c>
      <c r="H459">
        <v>0</v>
      </c>
      <c r="I459">
        <v>0</v>
      </c>
      <c r="J459">
        <v>2</v>
      </c>
      <c r="K459">
        <v>1.5</v>
      </c>
    </row>
    <row r="460" spans="1:11" x14ac:dyDescent="0.2">
      <c r="A460" t="s">
        <v>11</v>
      </c>
      <c r="B460">
        <v>45</v>
      </c>
      <c r="C460" t="s">
        <v>17</v>
      </c>
      <c r="D460" t="s">
        <v>13</v>
      </c>
      <c r="E460" t="s">
        <v>69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1</v>
      </c>
    </row>
    <row r="461" spans="1:11" x14ac:dyDescent="0.2">
      <c r="A461" t="s">
        <v>11</v>
      </c>
      <c r="B461">
        <v>45</v>
      </c>
      <c r="C461" t="s">
        <v>17</v>
      </c>
      <c r="D461" t="s">
        <v>18</v>
      </c>
      <c r="E461" t="s">
        <v>69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1</v>
      </c>
    </row>
    <row r="462" spans="1:11" x14ac:dyDescent="0.2">
      <c r="A462" t="s">
        <v>11</v>
      </c>
      <c r="B462">
        <v>45</v>
      </c>
      <c r="C462" t="s">
        <v>42</v>
      </c>
      <c r="D462" t="s">
        <v>28</v>
      </c>
      <c r="E462" t="s">
        <v>43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0.5</v>
      </c>
    </row>
    <row r="463" spans="1:11" x14ac:dyDescent="0.2">
      <c r="A463" t="s">
        <v>11</v>
      </c>
      <c r="B463">
        <v>45</v>
      </c>
      <c r="C463" t="s">
        <v>42</v>
      </c>
      <c r="D463" t="s">
        <v>13</v>
      </c>
      <c r="E463" t="s">
        <v>56</v>
      </c>
      <c r="F463">
        <v>0</v>
      </c>
      <c r="G463">
        <v>0</v>
      </c>
      <c r="H463">
        <v>2</v>
      </c>
      <c r="I463">
        <v>1</v>
      </c>
      <c r="J463">
        <v>3</v>
      </c>
      <c r="K463">
        <v>1.1000000000000001</v>
      </c>
    </row>
    <row r="464" spans="1:11" x14ac:dyDescent="0.2">
      <c r="A464" t="s">
        <v>11</v>
      </c>
      <c r="B464">
        <v>46</v>
      </c>
      <c r="C464" t="s">
        <v>20</v>
      </c>
      <c r="D464" t="s">
        <v>13</v>
      </c>
      <c r="E464" t="s">
        <v>33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0.75</v>
      </c>
    </row>
    <row r="465" spans="1:11" x14ac:dyDescent="0.2">
      <c r="A465" t="s">
        <v>11</v>
      </c>
      <c r="B465">
        <v>46</v>
      </c>
      <c r="C465" t="s">
        <v>20</v>
      </c>
      <c r="D465" t="s">
        <v>13</v>
      </c>
      <c r="E465" t="s">
        <v>37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0.5</v>
      </c>
    </row>
    <row r="466" spans="1:11" x14ac:dyDescent="0.2">
      <c r="A466" t="s">
        <v>11</v>
      </c>
      <c r="B466">
        <v>46</v>
      </c>
      <c r="C466" t="s">
        <v>12</v>
      </c>
      <c r="D466" t="s">
        <v>13</v>
      </c>
      <c r="E466" t="s">
        <v>74</v>
      </c>
      <c r="F466">
        <v>4</v>
      </c>
      <c r="G466">
        <v>0</v>
      </c>
      <c r="H466">
        <v>3</v>
      </c>
      <c r="I466">
        <v>0</v>
      </c>
      <c r="J466">
        <v>7</v>
      </c>
      <c r="K466">
        <v>5.5</v>
      </c>
    </row>
    <row r="467" spans="1:11" x14ac:dyDescent="0.2">
      <c r="A467" t="s">
        <v>11</v>
      </c>
      <c r="B467">
        <v>46</v>
      </c>
      <c r="C467" t="s">
        <v>42</v>
      </c>
      <c r="D467" t="s">
        <v>28</v>
      </c>
      <c r="E467" t="s">
        <v>43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0.5</v>
      </c>
    </row>
    <row r="468" spans="1:11" x14ac:dyDescent="0.2">
      <c r="A468" t="s">
        <v>11</v>
      </c>
      <c r="B468">
        <v>46</v>
      </c>
      <c r="C468" t="s">
        <v>42</v>
      </c>
      <c r="D468" t="s">
        <v>13</v>
      </c>
      <c r="E468" t="s">
        <v>56</v>
      </c>
      <c r="F468">
        <v>0</v>
      </c>
      <c r="G468">
        <v>0</v>
      </c>
      <c r="H468">
        <v>2</v>
      </c>
      <c r="I468">
        <v>0</v>
      </c>
      <c r="J468">
        <v>2</v>
      </c>
      <c r="K468">
        <v>1</v>
      </c>
    </row>
    <row r="469" spans="1:11" x14ac:dyDescent="0.2">
      <c r="A469" t="s">
        <v>11</v>
      </c>
      <c r="B469">
        <v>47</v>
      </c>
      <c r="C469" t="s">
        <v>20</v>
      </c>
      <c r="D469" t="s">
        <v>13</v>
      </c>
      <c r="E469" t="s">
        <v>33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0.75</v>
      </c>
    </row>
    <row r="470" spans="1:11" x14ac:dyDescent="0.2">
      <c r="A470" t="s">
        <v>11</v>
      </c>
      <c r="B470">
        <v>47</v>
      </c>
      <c r="C470" t="s">
        <v>20</v>
      </c>
      <c r="D470" t="s">
        <v>13</v>
      </c>
      <c r="E470" t="s">
        <v>37</v>
      </c>
      <c r="F470">
        <v>4</v>
      </c>
      <c r="G470">
        <v>0</v>
      </c>
      <c r="H470">
        <v>0</v>
      </c>
      <c r="I470">
        <v>5</v>
      </c>
      <c r="J470">
        <v>9</v>
      </c>
      <c r="K470">
        <v>4.5</v>
      </c>
    </row>
    <row r="471" spans="1:11" x14ac:dyDescent="0.2">
      <c r="A471" t="s">
        <v>11</v>
      </c>
      <c r="B471">
        <v>47</v>
      </c>
      <c r="C471" t="s">
        <v>15</v>
      </c>
      <c r="D471" t="s">
        <v>13</v>
      </c>
      <c r="E471" t="s">
        <v>38</v>
      </c>
      <c r="F471">
        <v>0</v>
      </c>
      <c r="G471">
        <v>0</v>
      </c>
      <c r="H471">
        <v>1</v>
      </c>
      <c r="I471">
        <v>0</v>
      </c>
      <c r="J471">
        <v>1</v>
      </c>
      <c r="K471">
        <v>0.5</v>
      </c>
    </row>
    <row r="472" spans="1:11" x14ac:dyDescent="0.2">
      <c r="A472" t="s">
        <v>11</v>
      </c>
      <c r="B472">
        <v>47</v>
      </c>
      <c r="C472" t="s">
        <v>22</v>
      </c>
      <c r="D472" t="s">
        <v>13</v>
      </c>
      <c r="E472" t="s">
        <v>55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1</v>
      </c>
    </row>
    <row r="473" spans="1:11" x14ac:dyDescent="0.2">
      <c r="A473" t="s">
        <v>11</v>
      </c>
      <c r="B473">
        <v>47</v>
      </c>
      <c r="C473" t="s">
        <v>22</v>
      </c>
      <c r="D473" t="s">
        <v>18</v>
      </c>
      <c r="E473" t="s">
        <v>38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0.5</v>
      </c>
    </row>
    <row r="474" spans="1:11" x14ac:dyDescent="0.2">
      <c r="A474" t="s">
        <v>11</v>
      </c>
      <c r="B474">
        <v>47</v>
      </c>
      <c r="C474" t="s">
        <v>17</v>
      </c>
      <c r="D474" t="s">
        <v>13</v>
      </c>
      <c r="E474" t="s">
        <v>41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0.1</v>
      </c>
    </row>
    <row r="475" spans="1:11" x14ac:dyDescent="0.2">
      <c r="A475" t="s">
        <v>11</v>
      </c>
      <c r="B475">
        <v>47</v>
      </c>
      <c r="C475" t="s">
        <v>42</v>
      </c>
      <c r="D475" t="s">
        <v>28</v>
      </c>
      <c r="E475" t="s">
        <v>43</v>
      </c>
      <c r="F475">
        <v>0</v>
      </c>
      <c r="G475">
        <v>4</v>
      </c>
      <c r="H475">
        <v>0</v>
      </c>
      <c r="I475">
        <v>5</v>
      </c>
      <c r="J475">
        <v>9</v>
      </c>
      <c r="K475">
        <v>3.5</v>
      </c>
    </row>
    <row r="476" spans="1:11" x14ac:dyDescent="0.2">
      <c r="A476" t="s">
        <v>11</v>
      </c>
      <c r="B476">
        <v>47</v>
      </c>
      <c r="C476" t="s">
        <v>42</v>
      </c>
      <c r="D476" t="s">
        <v>28</v>
      </c>
      <c r="E476" t="s">
        <v>51</v>
      </c>
      <c r="F476">
        <v>0</v>
      </c>
      <c r="G476">
        <v>1</v>
      </c>
      <c r="H476">
        <v>1</v>
      </c>
      <c r="I476">
        <v>0</v>
      </c>
      <c r="J476">
        <v>2</v>
      </c>
      <c r="K476">
        <v>1.25</v>
      </c>
    </row>
    <row r="477" spans="1:11" x14ac:dyDescent="0.2">
      <c r="A477" t="s">
        <v>11</v>
      </c>
      <c r="B477">
        <v>47</v>
      </c>
      <c r="C477" t="s">
        <v>42</v>
      </c>
      <c r="D477" t="s">
        <v>13</v>
      </c>
      <c r="E477" t="s">
        <v>56</v>
      </c>
      <c r="F477">
        <v>0</v>
      </c>
      <c r="G477">
        <v>0</v>
      </c>
      <c r="H477">
        <v>2</v>
      </c>
      <c r="I477">
        <v>1</v>
      </c>
      <c r="J477">
        <v>3</v>
      </c>
      <c r="K477">
        <v>1.3</v>
      </c>
    </row>
    <row r="478" spans="1:11" x14ac:dyDescent="0.2">
      <c r="A478" t="s">
        <v>11</v>
      </c>
      <c r="B478">
        <v>48</v>
      </c>
      <c r="C478" t="s">
        <v>20</v>
      </c>
      <c r="D478" t="s">
        <v>18</v>
      </c>
      <c r="E478" t="s">
        <v>57</v>
      </c>
      <c r="F478">
        <v>0</v>
      </c>
      <c r="G478">
        <v>0</v>
      </c>
      <c r="H478">
        <v>2</v>
      </c>
      <c r="I478">
        <v>0</v>
      </c>
      <c r="J478">
        <v>2</v>
      </c>
      <c r="K478">
        <v>1</v>
      </c>
    </row>
    <row r="479" spans="1:11" x14ac:dyDescent="0.2">
      <c r="A479" t="s">
        <v>11</v>
      </c>
      <c r="B479">
        <v>48</v>
      </c>
      <c r="C479" t="s">
        <v>20</v>
      </c>
      <c r="D479" t="s">
        <v>18</v>
      </c>
      <c r="E479" t="s">
        <v>35</v>
      </c>
      <c r="F479">
        <v>0</v>
      </c>
      <c r="G479">
        <v>0</v>
      </c>
      <c r="H479">
        <v>9</v>
      </c>
      <c r="I479">
        <v>0</v>
      </c>
      <c r="J479">
        <v>9</v>
      </c>
      <c r="K479">
        <v>4.5</v>
      </c>
    </row>
    <row r="480" spans="1:11" x14ac:dyDescent="0.2">
      <c r="A480" t="s">
        <v>11</v>
      </c>
      <c r="B480">
        <v>48</v>
      </c>
      <c r="C480" t="s">
        <v>20</v>
      </c>
      <c r="D480" t="s">
        <v>28</v>
      </c>
      <c r="E480" t="s">
        <v>61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1</v>
      </c>
    </row>
    <row r="481" spans="1:11" x14ac:dyDescent="0.2">
      <c r="A481" t="s">
        <v>11</v>
      </c>
      <c r="B481">
        <v>48</v>
      </c>
      <c r="C481" t="s">
        <v>20</v>
      </c>
      <c r="D481" t="s">
        <v>13</v>
      </c>
      <c r="E481" t="s">
        <v>37</v>
      </c>
      <c r="F481">
        <v>1</v>
      </c>
      <c r="G481">
        <v>0</v>
      </c>
      <c r="H481">
        <v>3</v>
      </c>
      <c r="I481">
        <v>0</v>
      </c>
      <c r="J481">
        <v>4</v>
      </c>
      <c r="K481">
        <v>2.5</v>
      </c>
    </row>
    <row r="482" spans="1:11" x14ac:dyDescent="0.2">
      <c r="A482" t="s">
        <v>11</v>
      </c>
      <c r="B482">
        <v>48</v>
      </c>
      <c r="C482" t="s">
        <v>15</v>
      </c>
      <c r="D482" t="s">
        <v>28</v>
      </c>
      <c r="E482" t="s">
        <v>57</v>
      </c>
      <c r="F482">
        <v>0</v>
      </c>
      <c r="G482">
        <v>0</v>
      </c>
      <c r="H482">
        <v>2</v>
      </c>
      <c r="I482">
        <v>0</v>
      </c>
      <c r="J482">
        <v>2</v>
      </c>
      <c r="K482">
        <v>1</v>
      </c>
    </row>
    <row r="483" spans="1:11" x14ac:dyDescent="0.2">
      <c r="A483" t="s">
        <v>11</v>
      </c>
      <c r="B483">
        <v>48</v>
      </c>
      <c r="C483" t="s">
        <v>22</v>
      </c>
      <c r="D483" t="s">
        <v>28</v>
      </c>
      <c r="E483" t="s">
        <v>62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0.75</v>
      </c>
    </row>
    <row r="484" spans="1:11" x14ac:dyDescent="0.2">
      <c r="A484" t="s">
        <v>11</v>
      </c>
      <c r="B484">
        <v>48</v>
      </c>
      <c r="C484" t="s">
        <v>42</v>
      </c>
      <c r="D484" t="s">
        <v>28</v>
      </c>
      <c r="E484" t="s">
        <v>43</v>
      </c>
      <c r="F484">
        <v>0</v>
      </c>
      <c r="G484">
        <v>1</v>
      </c>
      <c r="H484">
        <v>3</v>
      </c>
      <c r="I484">
        <v>0</v>
      </c>
      <c r="J484">
        <v>4</v>
      </c>
      <c r="K484">
        <v>2.35</v>
      </c>
    </row>
    <row r="485" spans="1:11" x14ac:dyDescent="0.2">
      <c r="A485" t="s">
        <v>11</v>
      </c>
      <c r="B485">
        <v>48</v>
      </c>
      <c r="C485" t="s">
        <v>42</v>
      </c>
      <c r="D485" t="s">
        <v>13</v>
      </c>
      <c r="E485" t="s">
        <v>35</v>
      </c>
      <c r="F485">
        <v>0</v>
      </c>
      <c r="G485">
        <v>0</v>
      </c>
      <c r="H485">
        <v>9</v>
      </c>
      <c r="I485">
        <v>0</v>
      </c>
      <c r="J485">
        <v>9</v>
      </c>
      <c r="K485">
        <v>4.5</v>
      </c>
    </row>
    <row r="486" spans="1:11" x14ac:dyDescent="0.2">
      <c r="A486" t="s">
        <v>11</v>
      </c>
      <c r="B486">
        <v>48</v>
      </c>
      <c r="C486" t="s">
        <v>42</v>
      </c>
      <c r="D486" t="s">
        <v>18</v>
      </c>
      <c r="E486" t="s">
        <v>44</v>
      </c>
      <c r="F486">
        <v>0</v>
      </c>
      <c r="G486">
        <v>0</v>
      </c>
      <c r="H486">
        <v>9</v>
      </c>
      <c r="I486">
        <v>0</v>
      </c>
      <c r="J486">
        <v>9</v>
      </c>
      <c r="K486">
        <v>4.5</v>
      </c>
    </row>
    <row r="487" spans="1:11" x14ac:dyDescent="0.2">
      <c r="A487" t="s">
        <v>11</v>
      </c>
      <c r="B487">
        <v>48</v>
      </c>
      <c r="C487" t="s">
        <v>42</v>
      </c>
      <c r="D487" t="s">
        <v>13</v>
      </c>
      <c r="E487" t="s">
        <v>56</v>
      </c>
      <c r="F487">
        <v>0</v>
      </c>
      <c r="G487">
        <v>0</v>
      </c>
      <c r="H487">
        <v>4</v>
      </c>
      <c r="I487">
        <v>3</v>
      </c>
      <c r="J487">
        <v>7</v>
      </c>
      <c r="K487">
        <v>2.2999999999999998</v>
      </c>
    </row>
    <row r="488" spans="1:11" x14ac:dyDescent="0.2">
      <c r="A488" t="s">
        <v>11</v>
      </c>
      <c r="B488">
        <v>49</v>
      </c>
      <c r="C488" t="s">
        <v>20</v>
      </c>
      <c r="D488" t="s">
        <v>18</v>
      </c>
      <c r="E488" t="s">
        <v>21</v>
      </c>
      <c r="F488">
        <v>1</v>
      </c>
      <c r="G488">
        <v>5</v>
      </c>
      <c r="H488">
        <v>0</v>
      </c>
      <c r="I488">
        <v>1</v>
      </c>
      <c r="J488">
        <v>7</v>
      </c>
      <c r="K488">
        <v>4.8499999999999996</v>
      </c>
    </row>
    <row r="489" spans="1:11" x14ac:dyDescent="0.2">
      <c r="A489" t="s">
        <v>11</v>
      </c>
      <c r="B489">
        <v>49</v>
      </c>
      <c r="C489" t="s">
        <v>20</v>
      </c>
      <c r="D489" t="s">
        <v>28</v>
      </c>
      <c r="E489" t="s">
        <v>29</v>
      </c>
      <c r="F489">
        <v>3</v>
      </c>
      <c r="G489">
        <v>0</v>
      </c>
      <c r="H489">
        <v>3</v>
      </c>
      <c r="I489">
        <v>0</v>
      </c>
      <c r="J489">
        <v>6</v>
      </c>
      <c r="K489">
        <v>4.5</v>
      </c>
    </row>
    <row r="490" spans="1:11" x14ac:dyDescent="0.2">
      <c r="A490" t="s">
        <v>11</v>
      </c>
      <c r="B490">
        <v>49</v>
      </c>
      <c r="C490" t="s">
        <v>20</v>
      </c>
      <c r="D490" t="s">
        <v>18</v>
      </c>
      <c r="E490" t="s">
        <v>35</v>
      </c>
      <c r="F490">
        <v>0</v>
      </c>
      <c r="G490">
        <v>0</v>
      </c>
      <c r="H490">
        <v>1</v>
      </c>
      <c r="I490">
        <v>1</v>
      </c>
      <c r="J490">
        <v>2</v>
      </c>
      <c r="K490">
        <v>0.6</v>
      </c>
    </row>
    <row r="491" spans="1:11" x14ac:dyDescent="0.2">
      <c r="A491" t="s">
        <v>11</v>
      </c>
      <c r="B491">
        <v>49</v>
      </c>
      <c r="C491" t="s">
        <v>15</v>
      </c>
      <c r="D491" t="s">
        <v>13</v>
      </c>
      <c r="E491" t="s">
        <v>39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0.5</v>
      </c>
    </row>
    <row r="492" spans="1:11" x14ac:dyDescent="0.2">
      <c r="A492" t="s">
        <v>11</v>
      </c>
      <c r="B492">
        <v>49</v>
      </c>
      <c r="C492" t="s">
        <v>42</v>
      </c>
      <c r="D492" t="s">
        <v>13</v>
      </c>
      <c r="E492" t="s">
        <v>35</v>
      </c>
      <c r="F492">
        <v>0</v>
      </c>
      <c r="G492">
        <v>0</v>
      </c>
      <c r="H492">
        <v>1</v>
      </c>
      <c r="I492">
        <v>1</v>
      </c>
      <c r="J492">
        <v>2</v>
      </c>
      <c r="K492">
        <v>0.6</v>
      </c>
    </row>
    <row r="493" spans="1:11" x14ac:dyDescent="0.2">
      <c r="A493" t="s">
        <v>11</v>
      </c>
      <c r="B493">
        <v>49</v>
      </c>
      <c r="C493" t="s">
        <v>42</v>
      </c>
      <c r="D493" t="s">
        <v>18</v>
      </c>
      <c r="E493" t="s">
        <v>44</v>
      </c>
      <c r="F493">
        <v>0</v>
      </c>
      <c r="G493">
        <v>0</v>
      </c>
      <c r="H493">
        <v>1</v>
      </c>
      <c r="I493">
        <v>1</v>
      </c>
      <c r="J493">
        <v>2</v>
      </c>
      <c r="K493">
        <v>0.6</v>
      </c>
    </row>
    <row r="494" spans="1:11" x14ac:dyDescent="0.2">
      <c r="A494" t="s">
        <v>11</v>
      </c>
      <c r="B494">
        <v>49</v>
      </c>
      <c r="C494" t="s">
        <v>42</v>
      </c>
      <c r="D494" t="s">
        <v>13</v>
      </c>
      <c r="E494" t="s">
        <v>56</v>
      </c>
      <c r="F494">
        <v>0</v>
      </c>
      <c r="G494">
        <v>0</v>
      </c>
      <c r="H494">
        <v>3</v>
      </c>
      <c r="I494">
        <v>5</v>
      </c>
      <c r="J494">
        <v>8</v>
      </c>
      <c r="K494">
        <v>2</v>
      </c>
    </row>
    <row r="495" spans="1:11" x14ac:dyDescent="0.2">
      <c r="A495" t="s">
        <v>11</v>
      </c>
      <c r="B495">
        <v>49</v>
      </c>
      <c r="C495" t="s">
        <v>45</v>
      </c>
      <c r="D495" t="s">
        <v>18</v>
      </c>
      <c r="E495" t="s">
        <v>60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0.5</v>
      </c>
    </row>
    <row r="496" spans="1:11" x14ac:dyDescent="0.2">
      <c r="A496" t="s">
        <v>11</v>
      </c>
      <c r="B496">
        <v>50</v>
      </c>
      <c r="C496" t="s">
        <v>20</v>
      </c>
      <c r="D496" t="s">
        <v>18</v>
      </c>
      <c r="E496" t="s">
        <v>21</v>
      </c>
      <c r="F496">
        <v>7</v>
      </c>
      <c r="G496">
        <v>1</v>
      </c>
      <c r="H496">
        <v>1</v>
      </c>
      <c r="I496">
        <v>0</v>
      </c>
      <c r="J496">
        <v>9</v>
      </c>
      <c r="K496">
        <v>8.25</v>
      </c>
    </row>
    <row r="497" spans="1:11" x14ac:dyDescent="0.2">
      <c r="A497" t="s">
        <v>11</v>
      </c>
      <c r="B497">
        <v>50</v>
      </c>
      <c r="C497" t="s">
        <v>20</v>
      </c>
      <c r="D497" t="s">
        <v>28</v>
      </c>
      <c r="E497" t="s">
        <v>29</v>
      </c>
      <c r="F497">
        <v>2</v>
      </c>
      <c r="G497">
        <v>0</v>
      </c>
      <c r="H497">
        <v>0</v>
      </c>
      <c r="I497">
        <v>0</v>
      </c>
      <c r="J497">
        <v>2</v>
      </c>
      <c r="K497">
        <v>2</v>
      </c>
    </row>
    <row r="498" spans="1:11" x14ac:dyDescent="0.2">
      <c r="A498" t="s">
        <v>11</v>
      </c>
      <c r="B498">
        <v>50</v>
      </c>
      <c r="C498" t="s">
        <v>20</v>
      </c>
      <c r="D498" t="s">
        <v>28</v>
      </c>
      <c r="E498" t="s">
        <v>61</v>
      </c>
      <c r="F498">
        <v>0</v>
      </c>
      <c r="G498">
        <v>0</v>
      </c>
      <c r="H498">
        <v>2</v>
      </c>
      <c r="I498">
        <v>0</v>
      </c>
      <c r="J498">
        <v>2</v>
      </c>
      <c r="K498">
        <v>1</v>
      </c>
    </row>
    <row r="499" spans="1:11" x14ac:dyDescent="0.2">
      <c r="A499" t="s">
        <v>11</v>
      </c>
      <c r="B499">
        <v>50</v>
      </c>
      <c r="C499" t="s">
        <v>20</v>
      </c>
      <c r="D499" t="s">
        <v>13</v>
      </c>
      <c r="E499" t="s">
        <v>37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0.75</v>
      </c>
    </row>
    <row r="500" spans="1:11" x14ac:dyDescent="0.2">
      <c r="A500" t="s">
        <v>11</v>
      </c>
      <c r="B500">
        <v>50</v>
      </c>
      <c r="C500" t="s">
        <v>22</v>
      </c>
      <c r="D500" t="s">
        <v>13</v>
      </c>
      <c r="E500" t="s">
        <v>55</v>
      </c>
      <c r="F500">
        <v>0</v>
      </c>
      <c r="G500">
        <v>1</v>
      </c>
      <c r="H500">
        <v>0</v>
      </c>
      <c r="I500">
        <v>0</v>
      </c>
      <c r="J500">
        <v>1</v>
      </c>
      <c r="K500">
        <v>0.75</v>
      </c>
    </row>
    <row r="501" spans="1:11" x14ac:dyDescent="0.2">
      <c r="A501" t="s">
        <v>11</v>
      </c>
      <c r="B501">
        <v>50</v>
      </c>
      <c r="C501" t="s">
        <v>22</v>
      </c>
      <c r="D501" t="s">
        <v>28</v>
      </c>
      <c r="E501" t="s">
        <v>62</v>
      </c>
      <c r="F501">
        <v>0</v>
      </c>
      <c r="G501">
        <v>0</v>
      </c>
      <c r="H501">
        <v>2</v>
      </c>
      <c r="I501">
        <v>0</v>
      </c>
      <c r="J501">
        <v>2</v>
      </c>
      <c r="K501">
        <v>1</v>
      </c>
    </row>
    <row r="502" spans="1:11" x14ac:dyDescent="0.2">
      <c r="A502" t="s">
        <v>11</v>
      </c>
      <c r="B502">
        <v>50</v>
      </c>
      <c r="C502" t="s">
        <v>42</v>
      </c>
      <c r="D502" t="s">
        <v>28</v>
      </c>
      <c r="E502" t="s">
        <v>43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0.75</v>
      </c>
    </row>
    <row r="503" spans="1:11" x14ac:dyDescent="0.2">
      <c r="A503" t="s">
        <v>11</v>
      </c>
      <c r="B503">
        <v>50</v>
      </c>
      <c r="C503" t="s">
        <v>42</v>
      </c>
      <c r="D503" t="s">
        <v>28</v>
      </c>
      <c r="E503" t="s">
        <v>51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0.5</v>
      </c>
    </row>
    <row r="504" spans="1:11" x14ac:dyDescent="0.2">
      <c r="A504" t="s">
        <v>11</v>
      </c>
      <c r="B504">
        <v>50</v>
      </c>
      <c r="C504" t="s">
        <v>42</v>
      </c>
      <c r="D504" t="s">
        <v>13</v>
      </c>
      <c r="E504" t="s">
        <v>56</v>
      </c>
      <c r="F504">
        <v>0</v>
      </c>
      <c r="G504">
        <v>0</v>
      </c>
      <c r="H504">
        <v>1</v>
      </c>
      <c r="I504">
        <v>1</v>
      </c>
      <c r="J504">
        <v>2</v>
      </c>
      <c r="K504">
        <v>0.6</v>
      </c>
    </row>
    <row r="505" spans="1:11" x14ac:dyDescent="0.2">
      <c r="A505" t="s">
        <v>11</v>
      </c>
      <c r="B505">
        <v>51</v>
      </c>
      <c r="C505" t="s">
        <v>20</v>
      </c>
      <c r="D505" t="s">
        <v>18</v>
      </c>
      <c r="E505" t="s">
        <v>21</v>
      </c>
      <c r="F505">
        <v>1</v>
      </c>
      <c r="G505">
        <v>1</v>
      </c>
      <c r="H505">
        <v>3</v>
      </c>
      <c r="I505">
        <v>0</v>
      </c>
      <c r="J505">
        <v>5</v>
      </c>
      <c r="K505">
        <v>3.25</v>
      </c>
    </row>
    <row r="506" spans="1:11" x14ac:dyDescent="0.2">
      <c r="A506" t="s">
        <v>11</v>
      </c>
      <c r="B506">
        <v>51</v>
      </c>
      <c r="C506" t="s">
        <v>20</v>
      </c>
      <c r="D506" t="s">
        <v>18</v>
      </c>
      <c r="E506" t="s">
        <v>57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0.5</v>
      </c>
    </row>
    <row r="507" spans="1:11" x14ac:dyDescent="0.2">
      <c r="A507" t="s">
        <v>11</v>
      </c>
      <c r="B507">
        <v>51</v>
      </c>
      <c r="C507" t="s">
        <v>20</v>
      </c>
      <c r="D507" t="s">
        <v>18</v>
      </c>
      <c r="E507" t="s">
        <v>35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0.5</v>
      </c>
    </row>
    <row r="508" spans="1:11" x14ac:dyDescent="0.2">
      <c r="A508" t="s">
        <v>11</v>
      </c>
      <c r="B508">
        <v>51</v>
      </c>
      <c r="C508" t="s">
        <v>20</v>
      </c>
      <c r="D508" t="s">
        <v>28</v>
      </c>
      <c r="E508" t="s">
        <v>61</v>
      </c>
      <c r="F508">
        <v>0</v>
      </c>
      <c r="G508">
        <v>0</v>
      </c>
      <c r="H508">
        <v>2</v>
      </c>
      <c r="I508">
        <v>0</v>
      </c>
      <c r="J508">
        <v>2</v>
      </c>
      <c r="K508">
        <v>1</v>
      </c>
    </row>
    <row r="509" spans="1:11" x14ac:dyDescent="0.2">
      <c r="A509" t="s">
        <v>11</v>
      </c>
      <c r="B509">
        <v>51</v>
      </c>
      <c r="C509" t="s">
        <v>20</v>
      </c>
      <c r="D509" t="s">
        <v>13</v>
      </c>
      <c r="E509" t="s">
        <v>37</v>
      </c>
      <c r="F509">
        <v>0</v>
      </c>
      <c r="G509">
        <v>1</v>
      </c>
      <c r="H509">
        <v>0</v>
      </c>
      <c r="I509">
        <v>1</v>
      </c>
      <c r="J509">
        <v>2</v>
      </c>
      <c r="K509">
        <v>0.85</v>
      </c>
    </row>
    <row r="510" spans="1:11" x14ac:dyDescent="0.2">
      <c r="A510" t="s">
        <v>11</v>
      </c>
      <c r="B510">
        <v>51</v>
      </c>
      <c r="C510" t="s">
        <v>12</v>
      </c>
      <c r="D510" t="s">
        <v>13</v>
      </c>
      <c r="E510" t="s">
        <v>65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0.5</v>
      </c>
    </row>
    <row r="511" spans="1:11" x14ac:dyDescent="0.2">
      <c r="A511" t="s">
        <v>11</v>
      </c>
      <c r="B511">
        <v>51</v>
      </c>
      <c r="C511" t="s">
        <v>15</v>
      </c>
      <c r="D511" t="s">
        <v>28</v>
      </c>
      <c r="E511" t="s">
        <v>57</v>
      </c>
      <c r="F511">
        <v>0</v>
      </c>
      <c r="G511">
        <v>0</v>
      </c>
      <c r="H511">
        <v>1</v>
      </c>
      <c r="I511">
        <v>0</v>
      </c>
      <c r="J511">
        <v>1</v>
      </c>
      <c r="K511">
        <v>0.5</v>
      </c>
    </row>
    <row r="512" spans="1:11" x14ac:dyDescent="0.2">
      <c r="A512" t="s">
        <v>11</v>
      </c>
      <c r="B512">
        <v>51</v>
      </c>
      <c r="C512" t="s">
        <v>22</v>
      </c>
      <c r="D512" t="s">
        <v>13</v>
      </c>
      <c r="E512" t="s">
        <v>54</v>
      </c>
      <c r="F512">
        <v>0</v>
      </c>
      <c r="G512">
        <v>2</v>
      </c>
      <c r="H512">
        <v>0</v>
      </c>
      <c r="I512">
        <v>0</v>
      </c>
      <c r="J512">
        <v>2</v>
      </c>
      <c r="K512">
        <v>1.5</v>
      </c>
    </row>
    <row r="513" spans="1:11" x14ac:dyDescent="0.2">
      <c r="A513" t="s">
        <v>11</v>
      </c>
      <c r="B513">
        <v>51</v>
      </c>
      <c r="C513" t="s">
        <v>22</v>
      </c>
      <c r="D513" t="s">
        <v>13</v>
      </c>
      <c r="E513" t="s">
        <v>65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0.5</v>
      </c>
    </row>
    <row r="514" spans="1:11" x14ac:dyDescent="0.2">
      <c r="A514" t="s">
        <v>11</v>
      </c>
      <c r="B514">
        <v>51</v>
      </c>
      <c r="C514" t="s">
        <v>22</v>
      </c>
      <c r="D514" t="s">
        <v>28</v>
      </c>
      <c r="E514" t="s">
        <v>62</v>
      </c>
      <c r="F514">
        <v>0</v>
      </c>
      <c r="G514">
        <v>0</v>
      </c>
      <c r="H514">
        <v>2</v>
      </c>
      <c r="I514">
        <v>0</v>
      </c>
      <c r="J514">
        <v>2</v>
      </c>
      <c r="K514">
        <v>1</v>
      </c>
    </row>
    <row r="515" spans="1:11" x14ac:dyDescent="0.2">
      <c r="A515" t="s">
        <v>11</v>
      </c>
      <c r="B515">
        <v>51</v>
      </c>
      <c r="C515" t="s">
        <v>22</v>
      </c>
      <c r="D515" t="s">
        <v>18</v>
      </c>
      <c r="E515" t="s">
        <v>63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0.75</v>
      </c>
    </row>
    <row r="516" spans="1:11" x14ac:dyDescent="0.2">
      <c r="A516" t="s">
        <v>11</v>
      </c>
      <c r="B516">
        <v>51</v>
      </c>
      <c r="C516" t="s">
        <v>17</v>
      </c>
      <c r="D516" t="s">
        <v>18</v>
      </c>
      <c r="E516" t="s">
        <v>82</v>
      </c>
      <c r="F516">
        <v>2</v>
      </c>
      <c r="G516">
        <v>0</v>
      </c>
      <c r="H516">
        <v>0</v>
      </c>
      <c r="I516">
        <v>0</v>
      </c>
      <c r="J516">
        <v>2</v>
      </c>
      <c r="K516">
        <v>2</v>
      </c>
    </row>
    <row r="517" spans="1:11" x14ac:dyDescent="0.2">
      <c r="A517" t="s">
        <v>11</v>
      </c>
      <c r="B517">
        <v>51</v>
      </c>
      <c r="C517" t="s">
        <v>42</v>
      </c>
      <c r="D517" t="s">
        <v>28</v>
      </c>
      <c r="E517" t="s">
        <v>43</v>
      </c>
      <c r="F517">
        <v>0</v>
      </c>
      <c r="G517">
        <v>1</v>
      </c>
      <c r="H517">
        <v>0</v>
      </c>
      <c r="I517">
        <v>1</v>
      </c>
      <c r="J517">
        <v>2</v>
      </c>
      <c r="K517">
        <v>0.85</v>
      </c>
    </row>
    <row r="518" spans="1:11" x14ac:dyDescent="0.2">
      <c r="A518" t="s">
        <v>11</v>
      </c>
      <c r="B518">
        <v>51</v>
      </c>
      <c r="C518" t="s">
        <v>42</v>
      </c>
      <c r="D518" t="s">
        <v>13</v>
      </c>
      <c r="E518" t="s">
        <v>35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0.5</v>
      </c>
    </row>
    <row r="519" spans="1:11" x14ac:dyDescent="0.2">
      <c r="A519" t="s">
        <v>11</v>
      </c>
      <c r="B519">
        <v>51</v>
      </c>
      <c r="C519" t="s">
        <v>42</v>
      </c>
      <c r="D519" t="s">
        <v>18</v>
      </c>
      <c r="E519" t="s">
        <v>44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0.5</v>
      </c>
    </row>
    <row r="520" spans="1:11" x14ac:dyDescent="0.2">
      <c r="A520" t="s">
        <v>11</v>
      </c>
      <c r="B520">
        <v>51</v>
      </c>
      <c r="C520" t="s">
        <v>42</v>
      </c>
      <c r="D520" t="s">
        <v>13</v>
      </c>
      <c r="E520" t="s">
        <v>64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1</v>
      </c>
    </row>
    <row r="521" spans="1:11" x14ac:dyDescent="0.2">
      <c r="A521" t="s">
        <v>11</v>
      </c>
      <c r="B521">
        <v>52</v>
      </c>
      <c r="C521" t="s">
        <v>20</v>
      </c>
      <c r="D521" t="s">
        <v>18</v>
      </c>
      <c r="E521" t="s">
        <v>21</v>
      </c>
      <c r="F521">
        <v>1</v>
      </c>
      <c r="G521">
        <v>0</v>
      </c>
      <c r="H521">
        <v>0</v>
      </c>
      <c r="I521">
        <v>0</v>
      </c>
      <c r="J521">
        <v>1</v>
      </c>
      <c r="K521">
        <v>1</v>
      </c>
    </row>
    <row r="522" spans="1:11" x14ac:dyDescent="0.2">
      <c r="A522" t="s">
        <v>11</v>
      </c>
      <c r="B522">
        <v>52</v>
      </c>
      <c r="C522" t="s">
        <v>20</v>
      </c>
      <c r="D522" t="s">
        <v>28</v>
      </c>
      <c r="E522" t="s">
        <v>29</v>
      </c>
      <c r="F522">
        <v>1</v>
      </c>
      <c r="G522">
        <v>2</v>
      </c>
      <c r="H522">
        <v>0</v>
      </c>
      <c r="I522">
        <v>0</v>
      </c>
      <c r="J522">
        <v>3</v>
      </c>
      <c r="K522">
        <v>2.5</v>
      </c>
    </row>
    <row r="523" spans="1:11" x14ac:dyDescent="0.2">
      <c r="A523" t="s">
        <v>11</v>
      </c>
      <c r="B523">
        <v>52</v>
      </c>
      <c r="C523" t="s">
        <v>20</v>
      </c>
      <c r="D523" t="s">
        <v>13</v>
      </c>
      <c r="E523" t="s">
        <v>33</v>
      </c>
      <c r="F523">
        <v>0</v>
      </c>
      <c r="G523">
        <v>2</v>
      </c>
      <c r="H523">
        <v>0</v>
      </c>
      <c r="I523">
        <v>0</v>
      </c>
      <c r="J523">
        <v>2</v>
      </c>
      <c r="K523">
        <v>1.5</v>
      </c>
    </row>
    <row r="524" spans="1:11" x14ac:dyDescent="0.2">
      <c r="A524" t="s">
        <v>11</v>
      </c>
      <c r="B524">
        <v>52</v>
      </c>
      <c r="C524" t="s">
        <v>20</v>
      </c>
      <c r="D524" t="s">
        <v>18</v>
      </c>
      <c r="E524" t="s">
        <v>35</v>
      </c>
      <c r="F524">
        <v>0</v>
      </c>
      <c r="G524">
        <v>0</v>
      </c>
      <c r="H524">
        <v>1</v>
      </c>
      <c r="I524">
        <v>0</v>
      </c>
      <c r="J524">
        <v>1</v>
      </c>
      <c r="K524">
        <v>0.5</v>
      </c>
    </row>
    <row r="525" spans="1:11" x14ac:dyDescent="0.2">
      <c r="A525" t="s">
        <v>11</v>
      </c>
      <c r="B525">
        <v>52</v>
      </c>
      <c r="C525" t="s">
        <v>20</v>
      </c>
      <c r="D525" t="s">
        <v>13</v>
      </c>
      <c r="E525" t="s">
        <v>36</v>
      </c>
      <c r="F525">
        <v>0</v>
      </c>
      <c r="G525">
        <v>0</v>
      </c>
      <c r="H525">
        <v>0</v>
      </c>
      <c r="I525">
        <v>1</v>
      </c>
      <c r="J525">
        <v>1</v>
      </c>
      <c r="K525">
        <v>0.1</v>
      </c>
    </row>
    <row r="526" spans="1:11" x14ac:dyDescent="0.2">
      <c r="A526" t="s">
        <v>11</v>
      </c>
      <c r="B526">
        <v>52</v>
      </c>
      <c r="C526" t="s">
        <v>20</v>
      </c>
      <c r="D526" t="s">
        <v>28</v>
      </c>
      <c r="E526" t="s">
        <v>61</v>
      </c>
      <c r="F526">
        <v>0</v>
      </c>
      <c r="G526">
        <v>0</v>
      </c>
      <c r="H526">
        <v>2</v>
      </c>
      <c r="I526">
        <v>0</v>
      </c>
      <c r="J526">
        <v>2</v>
      </c>
      <c r="K526">
        <v>1</v>
      </c>
    </row>
    <row r="527" spans="1:11" x14ac:dyDescent="0.2">
      <c r="A527" t="s">
        <v>11</v>
      </c>
      <c r="B527">
        <v>52</v>
      </c>
      <c r="C527" t="s">
        <v>20</v>
      </c>
      <c r="D527" t="s">
        <v>13</v>
      </c>
      <c r="E527" t="s">
        <v>37</v>
      </c>
      <c r="F527">
        <v>1</v>
      </c>
      <c r="G527">
        <v>9</v>
      </c>
      <c r="H527">
        <v>1</v>
      </c>
      <c r="I527">
        <v>1</v>
      </c>
      <c r="J527">
        <v>12</v>
      </c>
      <c r="K527">
        <v>8.35</v>
      </c>
    </row>
    <row r="528" spans="1:11" x14ac:dyDescent="0.2">
      <c r="A528" t="s">
        <v>11</v>
      </c>
      <c r="B528">
        <v>52</v>
      </c>
      <c r="C528" t="s">
        <v>15</v>
      </c>
      <c r="D528" t="s">
        <v>13</v>
      </c>
      <c r="E528" t="s">
        <v>38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0.5</v>
      </c>
    </row>
    <row r="529" spans="1:11" x14ac:dyDescent="0.2">
      <c r="A529" t="s">
        <v>11</v>
      </c>
      <c r="B529">
        <v>52</v>
      </c>
      <c r="C529" t="s">
        <v>22</v>
      </c>
      <c r="D529" t="s">
        <v>13</v>
      </c>
      <c r="E529" t="s">
        <v>54</v>
      </c>
      <c r="F529">
        <v>0</v>
      </c>
      <c r="G529">
        <v>2</v>
      </c>
      <c r="H529">
        <v>0</v>
      </c>
      <c r="I529">
        <v>0</v>
      </c>
      <c r="J529">
        <v>2</v>
      </c>
      <c r="K529">
        <v>1.5</v>
      </c>
    </row>
    <row r="530" spans="1:11" x14ac:dyDescent="0.2">
      <c r="A530" t="s">
        <v>11</v>
      </c>
      <c r="B530">
        <v>52</v>
      </c>
      <c r="C530" t="s">
        <v>22</v>
      </c>
      <c r="D530" t="s">
        <v>13</v>
      </c>
      <c r="E530" t="s">
        <v>55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1</v>
      </c>
    </row>
    <row r="531" spans="1:11" x14ac:dyDescent="0.2">
      <c r="A531" t="s">
        <v>11</v>
      </c>
      <c r="B531">
        <v>52</v>
      </c>
      <c r="C531" t="s">
        <v>22</v>
      </c>
      <c r="D531" t="s">
        <v>18</v>
      </c>
      <c r="E531" t="s">
        <v>38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0.5</v>
      </c>
    </row>
    <row r="532" spans="1:11" x14ac:dyDescent="0.2">
      <c r="A532" t="s">
        <v>11</v>
      </c>
      <c r="B532">
        <v>52</v>
      </c>
      <c r="C532" t="s">
        <v>22</v>
      </c>
      <c r="D532" t="s">
        <v>28</v>
      </c>
      <c r="E532" t="s">
        <v>62</v>
      </c>
      <c r="F532">
        <v>0</v>
      </c>
      <c r="G532">
        <v>0</v>
      </c>
      <c r="H532">
        <v>2</v>
      </c>
      <c r="I532">
        <v>0</v>
      </c>
      <c r="J532">
        <v>2</v>
      </c>
      <c r="K532">
        <v>1</v>
      </c>
    </row>
    <row r="533" spans="1:11" x14ac:dyDescent="0.2">
      <c r="A533" t="s">
        <v>11</v>
      </c>
      <c r="B533">
        <v>52</v>
      </c>
      <c r="C533" t="s">
        <v>22</v>
      </c>
      <c r="D533" t="s">
        <v>18</v>
      </c>
      <c r="E533" t="s">
        <v>63</v>
      </c>
      <c r="F533">
        <v>0</v>
      </c>
      <c r="G533">
        <v>5</v>
      </c>
      <c r="H533">
        <v>1</v>
      </c>
      <c r="I533">
        <v>0</v>
      </c>
      <c r="J533">
        <v>6</v>
      </c>
      <c r="K533">
        <v>4.25</v>
      </c>
    </row>
    <row r="534" spans="1:11" x14ac:dyDescent="0.2">
      <c r="A534" t="s">
        <v>11</v>
      </c>
      <c r="B534">
        <v>52</v>
      </c>
      <c r="C534" t="s">
        <v>17</v>
      </c>
      <c r="D534" t="s">
        <v>18</v>
      </c>
      <c r="E534" t="s">
        <v>82</v>
      </c>
      <c r="F534">
        <v>2</v>
      </c>
      <c r="G534">
        <v>0</v>
      </c>
      <c r="H534">
        <v>0</v>
      </c>
      <c r="I534">
        <v>0</v>
      </c>
      <c r="J534">
        <v>2</v>
      </c>
      <c r="K534">
        <v>2</v>
      </c>
    </row>
    <row r="535" spans="1:11" x14ac:dyDescent="0.2">
      <c r="A535" t="s">
        <v>11</v>
      </c>
      <c r="B535">
        <v>52</v>
      </c>
      <c r="C535" t="s">
        <v>42</v>
      </c>
      <c r="D535" t="s">
        <v>28</v>
      </c>
      <c r="E535" t="s">
        <v>43</v>
      </c>
      <c r="F535">
        <v>0</v>
      </c>
      <c r="G535">
        <v>10</v>
      </c>
      <c r="H535">
        <v>2</v>
      </c>
      <c r="I535">
        <v>0</v>
      </c>
      <c r="J535">
        <v>12</v>
      </c>
      <c r="K535">
        <v>8.6999999999999993</v>
      </c>
    </row>
    <row r="536" spans="1:11" x14ac:dyDescent="0.2">
      <c r="A536" t="s">
        <v>11</v>
      </c>
      <c r="B536">
        <v>52</v>
      </c>
      <c r="C536" t="s">
        <v>42</v>
      </c>
      <c r="D536" t="s">
        <v>28</v>
      </c>
      <c r="E536" t="s">
        <v>51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0.6</v>
      </c>
    </row>
    <row r="537" spans="1:11" x14ac:dyDescent="0.2">
      <c r="A537" t="s">
        <v>11</v>
      </c>
      <c r="B537">
        <v>52</v>
      </c>
      <c r="C537" t="s">
        <v>42</v>
      </c>
      <c r="D537" t="s">
        <v>13</v>
      </c>
      <c r="E537" t="s">
        <v>70</v>
      </c>
      <c r="F537">
        <v>0</v>
      </c>
      <c r="G537">
        <v>3</v>
      </c>
      <c r="H537">
        <v>2</v>
      </c>
      <c r="I537">
        <v>0</v>
      </c>
      <c r="J537">
        <v>5</v>
      </c>
      <c r="K537">
        <v>3.25</v>
      </c>
    </row>
    <row r="538" spans="1:11" x14ac:dyDescent="0.2">
      <c r="A538" t="s">
        <v>11</v>
      </c>
      <c r="B538">
        <v>52</v>
      </c>
      <c r="C538" t="s">
        <v>42</v>
      </c>
      <c r="D538" t="s">
        <v>13</v>
      </c>
      <c r="E538" t="s">
        <v>35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0.5</v>
      </c>
    </row>
    <row r="539" spans="1:11" x14ac:dyDescent="0.2">
      <c r="A539" t="s">
        <v>11</v>
      </c>
      <c r="B539">
        <v>52</v>
      </c>
      <c r="C539" t="s">
        <v>42</v>
      </c>
      <c r="D539" t="s">
        <v>18</v>
      </c>
      <c r="E539" t="s">
        <v>44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0.5</v>
      </c>
    </row>
    <row r="540" spans="1:11" x14ac:dyDescent="0.2">
      <c r="A540" t="s">
        <v>11</v>
      </c>
      <c r="B540">
        <v>52</v>
      </c>
      <c r="C540" t="s">
        <v>42</v>
      </c>
      <c r="D540" t="s">
        <v>13</v>
      </c>
      <c r="E540" t="s">
        <v>64</v>
      </c>
      <c r="F540">
        <v>5</v>
      </c>
      <c r="G540">
        <v>0</v>
      </c>
      <c r="H540">
        <v>1</v>
      </c>
      <c r="I540">
        <v>0</v>
      </c>
      <c r="J540">
        <v>6</v>
      </c>
      <c r="K540">
        <v>5.5</v>
      </c>
    </row>
    <row r="541" spans="1:11" x14ac:dyDescent="0.2">
      <c r="A541" t="s">
        <v>11</v>
      </c>
      <c r="B541">
        <v>53</v>
      </c>
      <c r="C541" t="s">
        <v>20</v>
      </c>
      <c r="D541" t="s">
        <v>28</v>
      </c>
      <c r="E541" t="s">
        <v>29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0.5</v>
      </c>
    </row>
    <row r="542" spans="1:11" x14ac:dyDescent="0.2">
      <c r="A542" t="s">
        <v>11</v>
      </c>
      <c r="B542">
        <v>53</v>
      </c>
      <c r="C542" t="s">
        <v>20</v>
      </c>
      <c r="D542" t="s">
        <v>13</v>
      </c>
      <c r="E542" t="s">
        <v>37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0.1</v>
      </c>
    </row>
    <row r="543" spans="1:11" x14ac:dyDescent="0.2">
      <c r="A543" t="s">
        <v>11</v>
      </c>
      <c r="B543">
        <v>53</v>
      </c>
      <c r="C543" t="s">
        <v>22</v>
      </c>
      <c r="D543" t="s">
        <v>13</v>
      </c>
      <c r="E543" t="s">
        <v>54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0.1</v>
      </c>
    </row>
    <row r="544" spans="1:11" x14ac:dyDescent="0.2">
      <c r="A544" t="s">
        <v>11</v>
      </c>
      <c r="B544">
        <v>53</v>
      </c>
      <c r="C544" t="s">
        <v>17</v>
      </c>
      <c r="D544" t="s">
        <v>13</v>
      </c>
      <c r="E544" t="s">
        <v>41</v>
      </c>
      <c r="F544">
        <v>0</v>
      </c>
      <c r="G544">
        <v>0</v>
      </c>
      <c r="H544">
        <v>0</v>
      </c>
      <c r="I544">
        <v>4</v>
      </c>
      <c r="J544">
        <v>4</v>
      </c>
      <c r="K544">
        <v>0.4</v>
      </c>
    </row>
    <row r="545" spans="1:11" x14ac:dyDescent="0.2">
      <c r="A545" t="s">
        <v>11</v>
      </c>
      <c r="B545">
        <v>53</v>
      </c>
      <c r="C545" t="s">
        <v>42</v>
      </c>
      <c r="D545" t="s">
        <v>28</v>
      </c>
      <c r="E545" t="s">
        <v>43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0.1</v>
      </c>
    </row>
    <row r="546" spans="1:11" x14ac:dyDescent="0.2">
      <c r="A546" t="s">
        <v>11</v>
      </c>
      <c r="B546">
        <v>53</v>
      </c>
      <c r="C546" t="s">
        <v>42</v>
      </c>
      <c r="D546" t="s">
        <v>13</v>
      </c>
      <c r="E546" t="s">
        <v>52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0.5</v>
      </c>
    </row>
    <row r="547" spans="1:11" x14ac:dyDescent="0.2">
      <c r="A547" t="s">
        <v>11</v>
      </c>
      <c r="B547">
        <v>53</v>
      </c>
      <c r="C547" t="s">
        <v>45</v>
      </c>
      <c r="D547" t="s">
        <v>18</v>
      </c>
      <c r="E547" t="s">
        <v>78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0.75</v>
      </c>
    </row>
    <row r="548" spans="1:11" x14ac:dyDescent="0.2">
      <c r="A548" t="s">
        <v>11</v>
      </c>
      <c r="B548">
        <v>53</v>
      </c>
      <c r="C548" t="s">
        <v>45</v>
      </c>
      <c r="D548" t="s">
        <v>13</v>
      </c>
      <c r="E548" t="s">
        <v>79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0.5</v>
      </c>
    </row>
    <row r="549" spans="1:11" x14ac:dyDescent="0.2">
      <c r="A549" t="s">
        <v>11</v>
      </c>
      <c r="B549">
        <v>54</v>
      </c>
      <c r="C549" t="s">
        <v>20</v>
      </c>
      <c r="D549" t="s">
        <v>13</v>
      </c>
      <c r="E549" t="s">
        <v>95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0.1</v>
      </c>
    </row>
    <row r="550" spans="1:11" x14ac:dyDescent="0.2">
      <c r="A550" t="s">
        <v>11</v>
      </c>
      <c r="B550">
        <v>54</v>
      </c>
      <c r="C550" t="s">
        <v>20</v>
      </c>
      <c r="D550" t="s">
        <v>13</v>
      </c>
      <c r="E550" t="s">
        <v>36</v>
      </c>
      <c r="F550">
        <v>1</v>
      </c>
      <c r="G550">
        <v>0</v>
      </c>
      <c r="H550">
        <v>1</v>
      </c>
      <c r="I550">
        <v>0</v>
      </c>
      <c r="J550">
        <v>2</v>
      </c>
      <c r="K550">
        <v>1.5</v>
      </c>
    </row>
    <row r="551" spans="1:11" x14ac:dyDescent="0.2">
      <c r="A551" t="s">
        <v>11</v>
      </c>
      <c r="B551">
        <v>54</v>
      </c>
      <c r="C551" t="s">
        <v>20</v>
      </c>
      <c r="D551" t="s">
        <v>13</v>
      </c>
      <c r="E551" t="s">
        <v>37</v>
      </c>
      <c r="F551">
        <v>2</v>
      </c>
      <c r="G551">
        <v>0</v>
      </c>
      <c r="H551">
        <v>2</v>
      </c>
      <c r="I551">
        <v>1</v>
      </c>
      <c r="J551">
        <v>5</v>
      </c>
      <c r="K551">
        <v>3.1</v>
      </c>
    </row>
    <row r="552" spans="1:11" x14ac:dyDescent="0.2">
      <c r="A552" t="s">
        <v>11</v>
      </c>
      <c r="B552">
        <v>54</v>
      </c>
      <c r="C552" t="s">
        <v>12</v>
      </c>
      <c r="D552" t="s">
        <v>13</v>
      </c>
      <c r="E552" t="s">
        <v>65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0.1</v>
      </c>
    </row>
    <row r="553" spans="1:11" x14ac:dyDescent="0.2">
      <c r="A553" t="s">
        <v>11</v>
      </c>
      <c r="B553">
        <v>54</v>
      </c>
      <c r="C553" t="s">
        <v>12</v>
      </c>
      <c r="D553" t="s">
        <v>13</v>
      </c>
      <c r="E553" t="s">
        <v>58</v>
      </c>
      <c r="F553">
        <v>0</v>
      </c>
      <c r="G553">
        <v>0</v>
      </c>
      <c r="H553">
        <v>0</v>
      </c>
      <c r="I553">
        <v>2</v>
      </c>
      <c r="J553">
        <v>2</v>
      </c>
      <c r="K553">
        <v>0.2</v>
      </c>
    </row>
    <row r="554" spans="1:11" x14ac:dyDescent="0.2">
      <c r="A554" t="s">
        <v>11</v>
      </c>
      <c r="B554">
        <v>54</v>
      </c>
      <c r="C554" t="s">
        <v>22</v>
      </c>
      <c r="D554" t="s">
        <v>13</v>
      </c>
      <c r="E554" t="s">
        <v>54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0.1</v>
      </c>
    </row>
    <row r="555" spans="1:11" x14ac:dyDescent="0.2">
      <c r="A555" t="s">
        <v>11</v>
      </c>
      <c r="B555">
        <v>54</v>
      </c>
      <c r="C555" t="s">
        <v>22</v>
      </c>
      <c r="D555" t="s">
        <v>13</v>
      </c>
      <c r="E555" t="s">
        <v>65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0.1</v>
      </c>
    </row>
    <row r="556" spans="1:11" x14ac:dyDescent="0.2">
      <c r="A556" t="s">
        <v>11</v>
      </c>
      <c r="B556">
        <v>54</v>
      </c>
      <c r="C556" t="s">
        <v>17</v>
      </c>
      <c r="D556" t="s">
        <v>18</v>
      </c>
      <c r="E556" t="s">
        <v>110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0.1</v>
      </c>
    </row>
    <row r="557" spans="1:11" x14ac:dyDescent="0.2">
      <c r="A557" t="s">
        <v>11</v>
      </c>
      <c r="B557">
        <v>54</v>
      </c>
      <c r="C557" t="s">
        <v>17</v>
      </c>
      <c r="D557" t="s">
        <v>13</v>
      </c>
      <c r="E557" t="s">
        <v>41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0.1</v>
      </c>
    </row>
    <row r="558" spans="1:11" x14ac:dyDescent="0.2">
      <c r="A558" t="s">
        <v>11</v>
      </c>
      <c r="B558">
        <v>54</v>
      </c>
      <c r="C558" t="s">
        <v>42</v>
      </c>
      <c r="D558" t="s">
        <v>28</v>
      </c>
      <c r="E558" t="s">
        <v>43</v>
      </c>
      <c r="F558">
        <v>0</v>
      </c>
      <c r="G558">
        <v>2</v>
      </c>
      <c r="H558">
        <v>3</v>
      </c>
      <c r="I558">
        <v>0</v>
      </c>
      <c r="J558">
        <v>5</v>
      </c>
      <c r="K558">
        <v>3.1</v>
      </c>
    </row>
    <row r="559" spans="1:11" x14ac:dyDescent="0.2">
      <c r="A559" t="s">
        <v>11</v>
      </c>
      <c r="B559">
        <v>54</v>
      </c>
      <c r="C559" t="s">
        <v>42</v>
      </c>
      <c r="D559" t="s">
        <v>13</v>
      </c>
      <c r="E559" t="s">
        <v>88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0.5</v>
      </c>
    </row>
    <row r="560" spans="1:11" x14ac:dyDescent="0.2">
      <c r="A560" t="s">
        <v>11</v>
      </c>
      <c r="B560">
        <v>54</v>
      </c>
      <c r="C560" t="s">
        <v>42</v>
      </c>
      <c r="D560" t="s">
        <v>28</v>
      </c>
      <c r="E560" t="s">
        <v>51</v>
      </c>
      <c r="F560">
        <v>0</v>
      </c>
      <c r="G560">
        <v>0</v>
      </c>
      <c r="H560">
        <v>2</v>
      </c>
      <c r="I560">
        <v>0</v>
      </c>
      <c r="J560">
        <v>2</v>
      </c>
      <c r="K560">
        <v>1</v>
      </c>
    </row>
    <row r="561" spans="1:11" x14ac:dyDescent="0.2">
      <c r="A561" t="s">
        <v>11</v>
      </c>
      <c r="B561">
        <v>55</v>
      </c>
      <c r="C561" t="s">
        <v>20</v>
      </c>
      <c r="D561" t="s">
        <v>13</v>
      </c>
      <c r="E561" t="s">
        <v>27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0.5</v>
      </c>
    </row>
    <row r="562" spans="1:11" x14ac:dyDescent="0.2">
      <c r="A562" t="s">
        <v>11</v>
      </c>
      <c r="B562">
        <v>55</v>
      </c>
      <c r="C562" t="s">
        <v>20</v>
      </c>
      <c r="D562" t="s">
        <v>18</v>
      </c>
      <c r="E562" t="s">
        <v>27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0.5</v>
      </c>
    </row>
    <row r="563" spans="1:11" x14ac:dyDescent="0.2">
      <c r="A563" t="s">
        <v>11</v>
      </c>
      <c r="B563">
        <v>55</v>
      </c>
      <c r="C563" t="s">
        <v>20</v>
      </c>
      <c r="D563" t="s">
        <v>13</v>
      </c>
      <c r="E563" t="s">
        <v>37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0.5</v>
      </c>
    </row>
    <row r="564" spans="1:11" x14ac:dyDescent="0.2">
      <c r="A564" t="s">
        <v>11</v>
      </c>
      <c r="B564">
        <v>55</v>
      </c>
      <c r="C564" t="s">
        <v>12</v>
      </c>
      <c r="D564" t="s">
        <v>13</v>
      </c>
      <c r="E564" t="s">
        <v>58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0.1</v>
      </c>
    </row>
    <row r="565" spans="1:11" x14ac:dyDescent="0.2">
      <c r="A565" t="s">
        <v>11</v>
      </c>
      <c r="B565">
        <v>55</v>
      </c>
      <c r="C565" t="s">
        <v>15</v>
      </c>
      <c r="D565" t="s">
        <v>13</v>
      </c>
      <c r="E565" t="s">
        <v>16</v>
      </c>
      <c r="F565">
        <v>0</v>
      </c>
      <c r="G565">
        <v>1</v>
      </c>
      <c r="H565">
        <v>1</v>
      </c>
      <c r="I565">
        <v>1</v>
      </c>
      <c r="J565">
        <v>3</v>
      </c>
      <c r="K565">
        <v>1.35</v>
      </c>
    </row>
    <row r="566" spans="1:11" x14ac:dyDescent="0.2">
      <c r="A566" t="s">
        <v>11</v>
      </c>
      <c r="B566">
        <v>55</v>
      </c>
      <c r="C566" t="s">
        <v>22</v>
      </c>
      <c r="D566" t="s">
        <v>13</v>
      </c>
      <c r="E566" t="s">
        <v>54</v>
      </c>
      <c r="F566">
        <v>0</v>
      </c>
      <c r="G566">
        <v>0</v>
      </c>
      <c r="H566">
        <v>0</v>
      </c>
      <c r="I566">
        <v>7</v>
      </c>
      <c r="J566">
        <v>7</v>
      </c>
      <c r="K566">
        <v>0.7</v>
      </c>
    </row>
    <row r="567" spans="1:11" x14ac:dyDescent="0.2">
      <c r="A567" t="s">
        <v>11</v>
      </c>
      <c r="B567">
        <v>55</v>
      </c>
      <c r="C567" t="s">
        <v>17</v>
      </c>
      <c r="D567" t="s">
        <v>18</v>
      </c>
      <c r="E567" t="s">
        <v>82</v>
      </c>
      <c r="F567">
        <v>0</v>
      </c>
      <c r="G567">
        <v>0</v>
      </c>
      <c r="H567">
        <v>2</v>
      </c>
      <c r="I567">
        <v>1</v>
      </c>
      <c r="J567">
        <v>3</v>
      </c>
      <c r="K567">
        <v>1.1000000000000001</v>
      </c>
    </row>
    <row r="568" spans="1:11" x14ac:dyDescent="0.2">
      <c r="A568" t="s">
        <v>11</v>
      </c>
      <c r="B568">
        <v>55</v>
      </c>
      <c r="C568" t="s">
        <v>17</v>
      </c>
      <c r="D568" t="s">
        <v>13</v>
      </c>
      <c r="E568" t="s">
        <v>59</v>
      </c>
      <c r="F568">
        <v>0</v>
      </c>
      <c r="G568">
        <v>0</v>
      </c>
      <c r="H568">
        <v>2</v>
      </c>
      <c r="I568">
        <v>0</v>
      </c>
      <c r="J568">
        <v>2</v>
      </c>
      <c r="K568">
        <v>1</v>
      </c>
    </row>
    <row r="569" spans="1:11" x14ac:dyDescent="0.2">
      <c r="A569" t="s">
        <v>11</v>
      </c>
      <c r="B569">
        <v>55</v>
      </c>
      <c r="C569" t="s">
        <v>17</v>
      </c>
      <c r="D569" t="s">
        <v>13</v>
      </c>
      <c r="E569" t="s">
        <v>40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0.1</v>
      </c>
    </row>
    <row r="570" spans="1:11" x14ac:dyDescent="0.2">
      <c r="A570" t="s">
        <v>11</v>
      </c>
      <c r="B570">
        <v>55</v>
      </c>
      <c r="C570" t="s">
        <v>17</v>
      </c>
      <c r="D570" t="s">
        <v>18</v>
      </c>
      <c r="E570" t="s">
        <v>19</v>
      </c>
      <c r="F570">
        <v>1</v>
      </c>
      <c r="G570">
        <v>0</v>
      </c>
      <c r="H570">
        <v>1</v>
      </c>
      <c r="I570">
        <v>1</v>
      </c>
      <c r="J570">
        <v>3</v>
      </c>
      <c r="K570">
        <v>1.6</v>
      </c>
    </row>
    <row r="571" spans="1:11" x14ac:dyDescent="0.2">
      <c r="A571" t="s">
        <v>11</v>
      </c>
      <c r="B571">
        <v>55</v>
      </c>
      <c r="C571" t="s">
        <v>17</v>
      </c>
      <c r="D571" t="s">
        <v>13</v>
      </c>
      <c r="E571" t="s">
        <v>26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0.1</v>
      </c>
    </row>
    <row r="572" spans="1:11" x14ac:dyDescent="0.2">
      <c r="A572" t="s">
        <v>11</v>
      </c>
      <c r="B572">
        <v>55</v>
      </c>
      <c r="C572" t="s">
        <v>17</v>
      </c>
      <c r="D572" t="s">
        <v>18</v>
      </c>
      <c r="E572" t="s">
        <v>26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0.1</v>
      </c>
    </row>
    <row r="573" spans="1:11" x14ac:dyDescent="0.2">
      <c r="A573" t="s">
        <v>11</v>
      </c>
      <c r="B573">
        <v>55</v>
      </c>
      <c r="C573" t="s">
        <v>42</v>
      </c>
      <c r="D573" t="s">
        <v>28</v>
      </c>
      <c r="E573" t="s">
        <v>43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0.6</v>
      </c>
    </row>
    <row r="574" spans="1:11" x14ac:dyDescent="0.2">
      <c r="A574" t="s">
        <v>11</v>
      </c>
      <c r="B574">
        <v>55</v>
      </c>
      <c r="C574" t="s">
        <v>42</v>
      </c>
      <c r="D574" t="s">
        <v>13</v>
      </c>
      <c r="E574" t="s">
        <v>56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0.1</v>
      </c>
    </row>
    <row r="575" spans="1:11" x14ac:dyDescent="0.2">
      <c r="A575" t="s">
        <v>11</v>
      </c>
      <c r="B575">
        <v>55</v>
      </c>
      <c r="C575" t="s">
        <v>45</v>
      </c>
      <c r="D575" t="s">
        <v>13</v>
      </c>
      <c r="E575" t="s">
        <v>27</v>
      </c>
      <c r="F575">
        <v>0</v>
      </c>
      <c r="G575">
        <v>0</v>
      </c>
      <c r="H575">
        <v>1</v>
      </c>
      <c r="I575">
        <v>0</v>
      </c>
      <c r="J575">
        <v>1</v>
      </c>
      <c r="K575">
        <v>0.5</v>
      </c>
    </row>
    <row r="576" spans="1:11" x14ac:dyDescent="0.2">
      <c r="A576" t="s">
        <v>11</v>
      </c>
      <c r="B576">
        <v>56</v>
      </c>
      <c r="C576" t="s">
        <v>20</v>
      </c>
      <c r="D576" t="s">
        <v>28</v>
      </c>
      <c r="E576" t="s">
        <v>29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0.75</v>
      </c>
    </row>
    <row r="577" spans="1:11" x14ac:dyDescent="0.2">
      <c r="A577" t="s">
        <v>11</v>
      </c>
      <c r="B577">
        <v>56</v>
      </c>
      <c r="C577" t="s">
        <v>20</v>
      </c>
      <c r="D577" t="s">
        <v>28</v>
      </c>
      <c r="E577" t="s">
        <v>61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0.5</v>
      </c>
    </row>
    <row r="578" spans="1:11" x14ac:dyDescent="0.2">
      <c r="A578" t="s">
        <v>11</v>
      </c>
      <c r="B578">
        <v>56</v>
      </c>
      <c r="C578" t="s">
        <v>15</v>
      </c>
      <c r="D578" t="s">
        <v>13</v>
      </c>
      <c r="E578" t="s">
        <v>38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0.1</v>
      </c>
    </row>
    <row r="579" spans="1:11" x14ac:dyDescent="0.2">
      <c r="A579" t="s">
        <v>11</v>
      </c>
      <c r="B579">
        <v>56</v>
      </c>
      <c r="C579" t="s">
        <v>15</v>
      </c>
      <c r="D579" t="s">
        <v>13</v>
      </c>
      <c r="E579" t="s">
        <v>111</v>
      </c>
      <c r="F579">
        <v>0</v>
      </c>
      <c r="G579">
        <v>0</v>
      </c>
      <c r="H579">
        <v>2</v>
      </c>
      <c r="I579">
        <v>0</v>
      </c>
      <c r="J579">
        <v>2</v>
      </c>
      <c r="K579">
        <v>1.2</v>
      </c>
    </row>
    <row r="580" spans="1:11" x14ac:dyDescent="0.2">
      <c r="A580" t="s">
        <v>11</v>
      </c>
      <c r="B580">
        <v>56</v>
      </c>
      <c r="C580" t="s">
        <v>15</v>
      </c>
      <c r="D580" t="s">
        <v>18</v>
      </c>
      <c r="E580" t="s">
        <v>111</v>
      </c>
      <c r="F580">
        <v>0</v>
      </c>
      <c r="G580">
        <v>0</v>
      </c>
      <c r="H580">
        <v>2</v>
      </c>
      <c r="I580">
        <v>0</v>
      </c>
      <c r="J580">
        <v>2</v>
      </c>
      <c r="K580">
        <v>1.2</v>
      </c>
    </row>
    <row r="581" spans="1:11" x14ac:dyDescent="0.2">
      <c r="A581" t="s">
        <v>11</v>
      </c>
      <c r="B581">
        <v>56</v>
      </c>
      <c r="C581" t="s">
        <v>22</v>
      </c>
      <c r="D581" t="s">
        <v>13</v>
      </c>
      <c r="E581" t="s">
        <v>54</v>
      </c>
      <c r="F581">
        <v>0</v>
      </c>
      <c r="G581">
        <v>0</v>
      </c>
      <c r="H581">
        <v>0</v>
      </c>
      <c r="I581">
        <v>2</v>
      </c>
      <c r="J581">
        <v>2</v>
      </c>
      <c r="K581">
        <v>0.2</v>
      </c>
    </row>
    <row r="582" spans="1:11" x14ac:dyDescent="0.2">
      <c r="A582" t="s">
        <v>11</v>
      </c>
      <c r="B582">
        <v>56</v>
      </c>
      <c r="C582" t="s">
        <v>22</v>
      </c>
      <c r="D582" t="s">
        <v>13</v>
      </c>
      <c r="E582" t="s">
        <v>55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0.5</v>
      </c>
    </row>
    <row r="583" spans="1:11" x14ac:dyDescent="0.2">
      <c r="A583" t="s">
        <v>11</v>
      </c>
      <c r="B583">
        <v>56</v>
      </c>
      <c r="C583" t="s">
        <v>22</v>
      </c>
      <c r="D583" t="s">
        <v>18</v>
      </c>
      <c r="E583" t="s">
        <v>38</v>
      </c>
      <c r="F583">
        <v>0</v>
      </c>
      <c r="G583">
        <v>0</v>
      </c>
      <c r="H583">
        <v>0</v>
      </c>
      <c r="I583">
        <v>1</v>
      </c>
      <c r="J583">
        <v>1</v>
      </c>
      <c r="K583">
        <v>0.1</v>
      </c>
    </row>
    <row r="584" spans="1:11" x14ac:dyDescent="0.2">
      <c r="A584" t="s">
        <v>11</v>
      </c>
      <c r="B584">
        <v>56</v>
      </c>
      <c r="C584" t="s">
        <v>22</v>
      </c>
      <c r="D584" t="s">
        <v>28</v>
      </c>
      <c r="E584" t="s">
        <v>62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0.6</v>
      </c>
    </row>
    <row r="585" spans="1:11" x14ac:dyDescent="0.2">
      <c r="A585" t="s">
        <v>11</v>
      </c>
      <c r="B585">
        <v>56</v>
      </c>
      <c r="C585" t="s">
        <v>22</v>
      </c>
      <c r="D585" t="s">
        <v>13</v>
      </c>
      <c r="E585" t="s">
        <v>68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0.5</v>
      </c>
    </row>
    <row r="586" spans="1:11" x14ac:dyDescent="0.2">
      <c r="A586" t="s">
        <v>11</v>
      </c>
      <c r="B586">
        <v>56</v>
      </c>
      <c r="C586" t="s">
        <v>17</v>
      </c>
      <c r="D586" t="s">
        <v>13</v>
      </c>
      <c r="E586" t="s">
        <v>59</v>
      </c>
      <c r="F586">
        <v>0</v>
      </c>
      <c r="G586">
        <v>0</v>
      </c>
      <c r="H586">
        <v>1</v>
      </c>
      <c r="I586">
        <v>2</v>
      </c>
      <c r="J586">
        <v>3</v>
      </c>
      <c r="K586">
        <v>0.7</v>
      </c>
    </row>
    <row r="587" spans="1:11" x14ac:dyDescent="0.2">
      <c r="A587" t="s">
        <v>11</v>
      </c>
      <c r="B587">
        <v>56</v>
      </c>
      <c r="C587" t="s">
        <v>17</v>
      </c>
      <c r="D587" t="s">
        <v>13</v>
      </c>
      <c r="E587" t="s">
        <v>40</v>
      </c>
      <c r="F587">
        <v>0</v>
      </c>
      <c r="G587">
        <v>0</v>
      </c>
      <c r="H587">
        <v>0</v>
      </c>
      <c r="I587">
        <v>3</v>
      </c>
      <c r="J587">
        <v>3</v>
      </c>
      <c r="K587">
        <v>0.3</v>
      </c>
    </row>
    <row r="588" spans="1:11" x14ac:dyDescent="0.2">
      <c r="A588" t="s">
        <v>11</v>
      </c>
      <c r="B588">
        <v>56</v>
      </c>
      <c r="C588" t="s">
        <v>17</v>
      </c>
      <c r="D588" t="s">
        <v>18</v>
      </c>
      <c r="E588" t="s">
        <v>93</v>
      </c>
      <c r="F588">
        <v>0</v>
      </c>
      <c r="G588">
        <v>0</v>
      </c>
      <c r="H588">
        <v>2</v>
      </c>
      <c r="I588">
        <v>0</v>
      </c>
      <c r="J588">
        <v>2</v>
      </c>
      <c r="K588">
        <v>1</v>
      </c>
    </row>
    <row r="589" spans="1:11" x14ac:dyDescent="0.2">
      <c r="A589" t="s">
        <v>11</v>
      </c>
      <c r="B589">
        <v>56</v>
      </c>
      <c r="C589" t="s">
        <v>42</v>
      </c>
      <c r="D589" t="s">
        <v>13</v>
      </c>
      <c r="E589" t="s">
        <v>52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0.5</v>
      </c>
    </row>
    <row r="590" spans="1:11" x14ac:dyDescent="0.2">
      <c r="A590" t="s">
        <v>11</v>
      </c>
      <c r="B590">
        <v>56</v>
      </c>
      <c r="C590" t="s">
        <v>42</v>
      </c>
      <c r="D590" t="s">
        <v>13</v>
      </c>
      <c r="E590" t="s">
        <v>56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0.1</v>
      </c>
    </row>
    <row r="591" spans="1:11" x14ac:dyDescent="0.2">
      <c r="A591" t="s">
        <v>11</v>
      </c>
      <c r="B591">
        <v>56</v>
      </c>
      <c r="C591" t="s">
        <v>42</v>
      </c>
      <c r="D591" t="s">
        <v>18</v>
      </c>
      <c r="E591" t="s">
        <v>112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0.5</v>
      </c>
    </row>
    <row r="592" spans="1:11" x14ac:dyDescent="0.2">
      <c r="A592" t="s">
        <v>11</v>
      </c>
      <c r="B592">
        <v>56</v>
      </c>
      <c r="C592" t="s">
        <v>45</v>
      </c>
      <c r="D592" t="s">
        <v>13</v>
      </c>
      <c r="E592" t="s">
        <v>111</v>
      </c>
      <c r="F592">
        <v>0</v>
      </c>
      <c r="G592">
        <v>0</v>
      </c>
      <c r="H592">
        <v>2</v>
      </c>
      <c r="I592">
        <v>0</v>
      </c>
      <c r="J592">
        <v>2</v>
      </c>
      <c r="K592">
        <v>1.2</v>
      </c>
    </row>
    <row r="593" spans="1:11" x14ac:dyDescent="0.2">
      <c r="A593" t="s">
        <v>11</v>
      </c>
      <c r="B593">
        <v>56</v>
      </c>
      <c r="C593" t="s">
        <v>45</v>
      </c>
      <c r="D593" t="s">
        <v>18</v>
      </c>
      <c r="E593" t="s">
        <v>111</v>
      </c>
      <c r="F593">
        <v>0</v>
      </c>
      <c r="G593">
        <v>0</v>
      </c>
      <c r="H593">
        <v>2</v>
      </c>
      <c r="I593">
        <v>0</v>
      </c>
      <c r="J593">
        <v>2</v>
      </c>
      <c r="K593">
        <v>1.2</v>
      </c>
    </row>
    <row r="594" spans="1:11" x14ac:dyDescent="0.2">
      <c r="A594" t="s">
        <v>11</v>
      </c>
      <c r="B594">
        <v>57</v>
      </c>
      <c r="C594" t="s">
        <v>20</v>
      </c>
      <c r="D594" t="s">
        <v>28</v>
      </c>
      <c r="E594" t="s">
        <v>29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0.75</v>
      </c>
    </row>
    <row r="595" spans="1:11" x14ac:dyDescent="0.2">
      <c r="A595" t="s">
        <v>11</v>
      </c>
      <c r="B595">
        <v>57</v>
      </c>
      <c r="C595" t="s">
        <v>20</v>
      </c>
      <c r="D595" t="s">
        <v>18</v>
      </c>
      <c r="E595" t="s">
        <v>57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0.75</v>
      </c>
    </row>
    <row r="596" spans="1:11" x14ac:dyDescent="0.2">
      <c r="A596" t="s">
        <v>11</v>
      </c>
      <c r="B596">
        <v>57</v>
      </c>
      <c r="C596" t="s">
        <v>20</v>
      </c>
      <c r="D596" t="s">
        <v>13</v>
      </c>
      <c r="E596" t="s">
        <v>33</v>
      </c>
      <c r="F596">
        <v>0</v>
      </c>
      <c r="G596">
        <v>2</v>
      </c>
      <c r="H596">
        <v>0</v>
      </c>
      <c r="I596">
        <v>0</v>
      </c>
      <c r="J596">
        <v>2</v>
      </c>
      <c r="K596">
        <v>1.5</v>
      </c>
    </row>
    <row r="597" spans="1:11" x14ac:dyDescent="0.2">
      <c r="A597" t="s">
        <v>11</v>
      </c>
      <c r="B597">
        <v>57</v>
      </c>
      <c r="C597" t="s">
        <v>20</v>
      </c>
      <c r="D597" t="s">
        <v>13</v>
      </c>
      <c r="E597" t="s">
        <v>37</v>
      </c>
      <c r="F597">
        <v>1</v>
      </c>
      <c r="G597">
        <v>1</v>
      </c>
      <c r="H597">
        <v>0</v>
      </c>
      <c r="I597">
        <v>0</v>
      </c>
      <c r="J597">
        <v>2</v>
      </c>
      <c r="K597">
        <v>1.75</v>
      </c>
    </row>
    <row r="598" spans="1:11" x14ac:dyDescent="0.2">
      <c r="A598" t="s">
        <v>11</v>
      </c>
      <c r="B598">
        <v>57</v>
      </c>
      <c r="C598" t="s">
        <v>12</v>
      </c>
      <c r="D598" t="s">
        <v>13</v>
      </c>
      <c r="E598" t="s">
        <v>14</v>
      </c>
      <c r="F598">
        <v>0</v>
      </c>
      <c r="G598">
        <v>2</v>
      </c>
      <c r="H598">
        <v>0</v>
      </c>
      <c r="I598">
        <v>0</v>
      </c>
      <c r="J598">
        <v>2</v>
      </c>
      <c r="K598">
        <v>1.5</v>
      </c>
    </row>
    <row r="599" spans="1:11" x14ac:dyDescent="0.2">
      <c r="A599" t="s">
        <v>11</v>
      </c>
      <c r="B599">
        <v>57</v>
      </c>
      <c r="C599" t="s">
        <v>12</v>
      </c>
      <c r="D599" t="s">
        <v>13</v>
      </c>
      <c r="E599" t="s">
        <v>65</v>
      </c>
      <c r="F599">
        <v>0</v>
      </c>
      <c r="G599">
        <v>0</v>
      </c>
      <c r="H599">
        <v>1</v>
      </c>
      <c r="I599">
        <v>0</v>
      </c>
      <c r="J599">
        <v>1</v>
      </c>
      <c r="K599">
        <v>0.5</v>
      </c>
    </row>
    <row r="600" spans="1:11" x14ac:dyDescent="0.2">
      <c r="A600" t="s">
        <v>11</v>
      </c>
      <c r="B600">
        <v>57</v>
      </c>
      <c r="C600" t="s">
        <v>15</v>
      </c>
      <c r="D600" t="s">
        <v>28</v>
      </c>
      <c r="E600" t="s">
        <v>57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0.75</v>
      </c>
    </row>
    <row r="601" spans="1:11" x14ac:dyDescent="0.2">
      <c r="A601" t="s">
        <v>11</v>
      </c>
      <c r="B601">
        <v>57</v>
      </c>
      <c r="C601" t="s">
        <v>15</v>
      </c>
      <c r="D601" t="s">
        <v>13</v>
      </c>
      <c r="E601" t="s">
        <v>39</v>
      </c>
      <c r="F601">
        <v>0</v>
      </c>
      <c r="G601">
        <v>0</v>
      </c>
      <c r="H601">
        <v>1</v>
      </c>
      <c r="I601">
        <v>0</v>
      </c>
      <c r="J601">
        <v>1</v>
      </c>
      <c r="K601">
        <v>0.5</v>
      </c>
    </row>
    <row r="602" spans="1:11" x14ac:dyDescent="0.2">
      <c r="A602" t="s">
        <v>11</v>
      </c>
      <c r="B602">
        <v>57</v>
      </c>
      <c r="C602" t="s">
        <v>22</v>
      </c>
      <c r="D602" t="s">
        <v>13</v>
      </c>
      <c r="E602" t="s">
        <v>65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0.5</v>
      </c>
    </row>
    <row r="603" spans="1:11" x14ac:dyDescent="0.2">
      <c r="A603" t="s">
        <v>11</v>
      </c>
      <c r="B603">
        <v>57</v>
      </c>
      <c r="C603" t="s">
        <v>17</v>
      </c>
      <c r="D603" t="s">
        <v>13</v>
      </c>
      <c r="E603" t="s">
        <v>41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0.1</v>
      </c>
    </row>
    <row r="604" spans="1:11" x14ac:dyDescent="0.2">
      <c r="A604" t="s">
        <v>11</v>
      </c>
      <c r="B604">
        <v>57</v>
      </c>
      <c r="C604" t="s">
        <v>42</v>
      </c>
      <c r="D604" t="s">
        <v>28</v>
      </c>
      <c r="E604" t="s">
        <v>43</v>
      </c>
      <c r="F604">
        <v>0</v>
      </c>
      <c r="G604">
        <v>2</v>
      </c>
      <c r="H604">
        <v>0</v>
      </c>
      <c r="I604">
        <v>0</v>
      </c>
      <c r="J604">
        <v>2</v>
      </c>
      <c r="K604">
        <v>1.5</v>
      </c>
    </row>
    <row r="605" spans="1:11" x14ac:dyDescent="0.2">
      <c r="A605" t="s">
        <v>11</v>
      </c>
      <c r="B605">
        <v>57</v>
      </c>
      <c r="C605" t="s">
        <v>42</v>
      </c>
      <c r="D605" t="s">
        <v>13</v>
      </c>
      <c r="E605" t="s">
        <v>70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0.75</v>
      </c>
    </row>
    <row r="606" spans="1:11" x14ac:dyDescent="0.2">
      <c r="A606" t="s">
        <v>11</v>
      </c>
      <c r="B606">
        <v>57</v>
      </c>
      <c r="C606" t="s">
        <v>42</v>
      </c>
      <c r="D606" t="s">
        <v>13</v>
      </c>
      <c r="E606" t="s">
        <v>56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0.6</v>
      </c>
    </row>
    <row r="607" spans="1:11" x14ac:dyDescent="0.2">
      <c r="A607" t="s">
        <v>11</v>
      </c>
      <c r="B607">
        <v>58</v>
      </c>
      <c r="C607" t="s">
        <v>20</v>
      </c>
      <c r="D607" t="s">
        <v>18</v>
      </c>
      <c r="E607" t="s">
        <v>35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0.5</v>
      </c>
    </row>
    <row r="608" spans="1:11" x14ac:dyDescent="0.2">
      <c r="A608" t="s">
        <v>11</v>
      </c>
      <c r="B608">
        <v>58</v>
      </c>
      <c r="C608" t="s">
        <v>20</v>
      </c>
      <c r="D608" t="s">
        <v>28</v>
      </c>
      <c r="E608" t="s">
        <v>61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0.5</v>
      </c>
    </row>
    <row r="609" spans="1:11" x14ac:dyDescent="0.2">
      <c r="A609" t="s">
        <v>11</v>
      </c>
      <c r="B609">
        <v>58</v>
      </c>
      <c r="C609" t="s">
        <v>20</v>
      </c>
      <c r="D609" t="s">
        <v>28</v>
      </c>
      <c r="E609" t="s">
        <v>113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0.75</v>
      </c>
    </row>
    <row r="610" spans="1:11" x14ac:dyDescent="0.2">
      <c r="A610" t="s">
        <v>11</v>
      </c>
      <c r="B610">
        <v>58</v>
      </c>
      <c r="C610" t="s">
        <v>12</v>
      </c>
      <c r="D610" t="s">
        <v>13</v>
      </c>
      <c r="E610" t="s">
        <v>80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0.75</v>
      </c>
    </row>
    <row r="611" spans="1:11" x14ac:dyDescent="0.2">
      <c r="A611" t="s">
        <v>11</v>
      </c>
      <c r="B611">
        <v>58</v>
      </c>
      <c r="C611" t="s">
        <v>12</v>
      </c>
      <c r="D611" t="s">
        <v>18</v>
      </c>
      <c r="E611" t="s">
        <v>80</v>
      </c>
      <c r="F611">
        <v>0</v>
      </c>
      <c r="G611">
        <v>1</v>
      </c>
      <c r="H611">
        <v>0</v>
      </c>
      <c r="I611">
        <v>0</v>
      </c>
      <c r="J611">
        <v>1</v>
      </c>
      <c r="K611">
        <v>0.75</v>
      </c>
    </row>
    <row r="612" spans="1:11" x14ac:dyDescent="0.2">
      <c r="A612" t="s">
        <v>11</v>
      </c>
      <c r="B612">
        <v>58</v>
      </c>
      <c r="C612" t="s">
        <v>12</v>
      </c>
      <c r="D612" t="s">
        <v>13</v>
      </c>
      <c r="E612" t="s">
        <v>66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</row>
    <row r="613" spans="1:11" x14ac:dyDescent="0.2">
      <c r="A613" t="s">
        <v>11</v>
      </c>
      <c r="B613">
        <v>58</v>
      </c>
      <c r="C613" t="s">
        <v>15</v>
      </c>
      <c r="D613" t="s">
        <v>18</v>
      </c>
      <c r="E613" t="s">
        <v>113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0.75</v>
      </c>
    </row>
    <row r="614" spans="1:11" x14ac:dyDescent="0.2">
      <c r="A614" t="s">
        <v>11</v>
      </c>
      <c r="B614">
        <v>58</v>
      </c>
      <c r="C614" t="s">
        <v>22</v>
      </c>
      <c r="D614" t="s">
        <v>13</v>
      </c>
      <c r="E614" t="s">
        <v>25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0.75</v>
      </c>
    </row>
    <row r="615" spans="1:11" x14ac:dyDescent="0.2">
      <c r="A615" t="s">
        <v>11</v>
      </c>
      <c r="B615">
        <v>58</v>
      </c>
      <c r="C615" t="s">
        <v>22</v>
      </c>
      <c r="D615" t="s">
        <v>28</v>
      </c>
      <c r="E615" t="s">
        <v>62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0.5</v>
      </c>
    </row>
    <row r="616" spans="1:11" x14ac:dyDescent="0.2">
      <c r="A616" t="s">
        <v>11</v>
      </c>
      <c r="B616">
        <v>58</v>
      </c>
      <c r="C616" t="s">
        <v>17</v>
      </c>
      <c r="D616" t="s">
        <v>13</v>
      </c>
      <c r="E616" t="s">
        <v>40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0.1</v>
      </c>
    </row>
    <row r="617" spans="1:11" x14ac:dyDescent="0.2">
      <c r="A617" t="s">
        <v>11</v>
      </c>
      <c r="B617">
        <v>58</v>
      </c>
      <c r="C617" t="s">
        <v>17</v>
      </c>
      <c r="D617" t="s">
        <v>13</v>
      </c>
      <c r="E617" t="s">
        <v>66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</row>
    <row r="618" spans="1:11" x14ac:dyDescent="0.2">
      <c r="A618" t="s">
        <v>11</v>
      </c>
      <c r="B618">
        <v>58</v>
      </c>
      <c r="C618" t="s">
        <v>17</v>
      </c>
      <c r="D618" t="s">
        <v>13</v>
      </c>
      <c r="E618" t="s">
        <v>69</v>
      </c>
      <c r="F618">
        <v>1</v>
      </c>
      <c r="G618">
        <v>0</v>
      </c>
      <c r="H618">
        <v>1</v>
      </c>
      <c r="I618">
        <v>0</v>
      </c>
      <c r="J618">
        <v>2</v>
      </c>
      <c r="K618">
        <v>1.5</v>
      </c>
    </row>
    <row r="619" spans="1:11" x14ac:dyDescent="0.2">
      <c r="A619" t="s">
        <v>11</v>
      </c>
      <c r="B619">
        <v>58</v>
      </c>
      <c r="C619" t="s">
        <v>17</v>
      </c>
      <c r="D619" t="s">
        <v>18</v>
      </c>
      <c r="E619" t="s">
        <v>69</v>
      </c>
      <c r="F619">
        <v>1</v>
      </c>
      <c r="G619">
        <v>0</v>
      </c>
      <c r="H619">
        <v>1</v>
      </c>
      <c r="I619">
        <v>0</v>
      </c>
      <c r="J619">
        <v>2</v>
      </c>
      <c r="K619">
        <v>1.5</v>
      </c>
    </row>
    <row r="620" spans="1:11" x14ac:dyDescent="0.2">
      <c r="A620" t="s">
        <v>11</v>
      </c>
      <c r="B620">
        <v>58</v>
      </c>
      <c r="C620" t="s">
        <v>42</v>
      </c>
      <c r="D620" t="s">
        <v>13</v>
      </c>
      <c r="E620" t="s">
        <v>35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0.5</v>
      </c>
    </row>
    <row r="621" spans="1:11" x14ac:dyDescent="0.2">
      <c r="A621" t="s">
        <v>11</v>
      </c>
      <c r="B621">
        <v>58</v>
      </c>
      <c r="C621" t="s">
        <v>42</v>
      </c>
      <c r="D621" t="s">
        <v>18</v>
      </c>
      <c r="E621" t="s">
        <v>44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0.5</v>
      </c>
    </row>
    <row r="622" spans="1:11" x14ac:dyDescent="0.2">
      <c r="A622" t="s">
        <v>11</v>
      </c>
      <c r="B622">
        <v>58</v>
      </c>
      <c r="C622" t="s">
        <v>42</v>
      </c>
      <c r="D622" t="s">
        <v>18</v>
      </c>
      <c r="E622" t="s">
        <v>113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0.75</v>
      </c>
    </row>
    <row r="623" spans="1:11" x14ac:dyDescent="0.2">
      <c r="A623" t="s">
        <v>11</v>
      </c>
      <c r="B623">
        <v>58</v>
      </c>
      <c r="C623" t="s">
        <v>45</v>
      </c>
      <c r="D623" t="s">
        <v>13</v>
      </c>
      <c r="E623" t="s">
        <v>84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0.1</v>
      </c>
    </row>
    <row r="624" spans="1:11" x14ac:dyDescent="0.2">
      <c r="A624" t="s">
        <v>11</v>
      </c>
      <c r="B624">
        <v>58</v>
      </c>
      <c r="C624" t="s">
        <v>45</v>
      </c>
      <c r="D624" t="s">
        <v>18</v>
      </c>
      <c r="E624" t="s">
        <v>96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0.1</v>
      </c>
    </row>
    <row r="625" spans="1:11" x14ac:dyDescent="0.2">
      <c r="A625" t="s">
        <v>11</v>
      </c>
      <c r="B625">
        <v>58</v>
      </c>
      <c r="C625" t="s">
        <v>45</v>
      </c>
      <c r="D625" t="s">
        <v>13</v>
      </c>
      <c r="E625" t="s">
        <v>86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0.5</v>
      </c>
    </row>
    <row r="626" spans="1:11" x14ac:dyDescent="0.2">
      <c r="A626" t="s">
        <v>11</v>
      </c>
      <c r="B626">
        <v>58</v>
      </c>
      <c r="C626" t="s">
        <v>45</v>
      </c>
      <c r="D626" t="s">
        <v>18</v>
      </c>
      <c r="E626" t="s">
        <v>86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0.5</v>
      </c>
    </row>
    <row r="627" spans="1:11" x14ac:dyDescent="0.2">
      <c r="A627" t="s">
        <v>11</v>
      </c>
      <c r="B627">
        <v>59</v>
      </c>
      <c r="C627" t="s">
        <v>20</v>
      </c>
      <c r="D627" t="s">
        <v>28</v>
      </c>
      <c r="E627" t="s">
        <v>29</v>
      </c>
      <c r="F627">
        <v>1</v>
      </c>
      <c r="G627">
        <v>0</v>
      </c>
      <c r="H627">
        <v>0</v>
      </c>
      <c r="I627">
        <v>0</v>
      </c>
      <c r="J627">
        <v>1</v>
      </c>
      <c r="K627">
        <v>1</v>
      </c>
    </row>
    <row r="628" spans="1:11" x14ac:dyDescent="0.2">
      <c r="A628" t="s">
        <v>11</v>
      </c>
      <c r="B628">
        <v>59</v>
      </c>
      <c r="C628" t="s">
        <v>20</v>
      </c>
      <c r="D628" t="s">
        <v>13</v>
      </c>
      <c r="E628" t="s">
        <v>37</v>
      </c>
      <c r="F628">
        <v>0</v>
      </c>
      <c r="G628">
        <v>0</v>
      </c>
      <c r="H628">
        <v>1</v>
      </c>
      <c r="I628">
        <v>2</v>
      </c>
      <c r="J628">
        <v>3</v>
      </c>
      <c r="K628">
        <v>0.7</v>
      </c>
    </row>
    <row r="629" spans="1:11" x14ac:dyDescent="0.2">
      <c r="A629" t="s">
        <v>11</v>
      </c>
      <c r="B629">
        <v>59</v>
      </c>
      <c r="C629" t="s">
        <v>15</v>
      </c>
      <c r="D629" t="s">
        <v>13</v>
      </c>
      <c r="E629" t="s">
        <v>38</v>
      </c>
      <c r="F629">
        <v>0</v>
      </c>
      <c r="G629">
        <v>0</v>
      </c>
      <c r="H629">
        <v>4</v>
      </c>
      <c r="I629">
        <v>0</v>
      </c>
      <c r="J629">
        <v>4</v>
      </c>
      <c r="K629">
        <v>2</v>
      </c>
    </row>
    <row r="630" spans="1:11" x14ac:dyDescent="0.2">
      <c r="A630" t="s">
        <v>11</v>
      </c>
      <c r="B630">
        <v>59</v>
      </c>
      <c r="C630" t="s">
        <v>22</v>
      </c>
      <c r="D630" t="s">
        <v>18</v>
      </c>
      <c r="E630" t="s">
        <v>38</v>
      </c>
      <c r="F630">
        <v>0</v>
      </c>
      <c r="G630">
        <v>0</v>
      </c>
      <c r="H630">
        <v>4</v>
      </c>
      <c r="I630">
        <v>0</v>
      </c>
      <c r="J630">
        <v>4</v>
      </c>
      <c r="K630">
        <v>2</v>
      </c>
    </row>
    <row r="631" spans="1:11" x14ac:dyDescent="0.2">
      <c r="A631" t="s">
        <v>11</v>
      </c>
      <c r="B631">
        <v>59</v>
      </c>
      <c r="C631" t="s">
        <v>17</v>
      </c>
      <c r="D631" t="s">
        <v>13</v>
      </c>
      <c r="E631" t="s">
        <v>41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0.1</v>
      </c>
    </row>
    <row r="632" spans="1:11" x14ac:dyDescent="0.2">
      <c r="A632" t="s">
        <v>11</v>
      </c>
      <c r="B632">
        <v>59</v>
      </c>
      <c r="C632" t="s">
        <v>42</v>
      </c>
      <c r="D632" t="s">
        <v>28</v>
      </c>
      <c r="E632" t="s">
        <v>43</v>
      </c>
      <c r="F632">
        <v>0</v>
      </c>
      <c r="G632">
        <v>0</v>
      </c>
      <c r="H632">
        <v>2</v>
      </c>
      <c r="I632">
        <v>1</v>
      </c>
      <c r="J632">
        <v>3</v>
      </c>
      <c r="K632">
        <v>1.3</v>
      </c>
    </row>
    <row r="633" spans="1:11" x14ac:dyDescent="0.2">
      <c r="A633" t="s">
        <v>11</v>
      </c>
      <c r="B633">
        <v>59</v>
      </c>
      <c r="C633" t="s">
        <v>42</v>
      </c>
      <c r="D633" t="s">
        <v>13</v>
      </c>
      <c r="E633" t="s">
        <v>88</v>
      </c>
      <c r="F633">
        <v>0</v>
      </c>
      <c r="G633">
        <v>0</v>
      </c>
      <c r="H633">
        <v>3</v>
      </c>
      <c r="I633">
        <v>0</v>
      </c>
      <c r="J633">
        <v>3</v>
      </c>
      <c r="K633">
        <v>1.5</v>
      </c>
    </row>
    <row r="634" spans="1:11" x14ac:dyDescent="0.2">
      <c r="A634" t="s">
        <v>11</v>
      </c>
      <c r="B634">
        <v>59</v>
      </c>
      <c r="C634" t="s">
        <v>42</v>
      </c>
      <c r="D634" t="s">
        <v>28</v>
      </c>
      <c r="E634" t="s">
        <v>51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0.6</v>
      </c>
    </row>
    <row r="635" spans="1:11" x14ac:dyDescent="0.2">
      <c r="A635" t="s">
        <v>11</v>
      </c>
      <c r="B635">
        <v>59</v>
      </c>
      <c r="C635" t="s">
        <v>45</v>
      </c>
      <c r="D635" t="s">
        <v>13</v>
      </c>
      <c r="E635" t="s">
        <v>79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0.5</v>
      </c>
    </row>
    <row r="636" spans="1:11" x14ac:dyDescent="0.2">
      <c r="A636" t="s">
        <v>11</v>
      </c>
      <c r="B636">
        <v>60</v>
      </c>
      <c r="C636" t="s">
        <v>20</v>
      </c>
      <c r="D636" t="s">
        <v>28</v>
      </c>
      <c r="E636" t="s">
        <v>29</v>
      </c>
      <c r="F636">
        <v>0</v>
      </c>
      <c r="G636">
        <v>1</v>
      </c>
      <c r="H636">
        <v>0</v>
      </c>
      <c r="I636">
        <v>0</v>
      </c>
      <c r="J636">
        <v>1</v>
      </c>
      <c r="K636">
        <v>0.75</v>
      </c>
    </row>
    <row r="637" spans="1:11" x14ac:dyDescent="0.2">
      <c r="A637" t="s">
        <v>11</v>
      </c>
      <c r="B637">
        <v>60</v>
      </c>
      <c r="C637" t="s">
        <v>20</v>
      </c>
      <c r="D637" t="s">
        <v>13</v>
      </c>
      <c r="E637" t="s">
        <v>33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0.75</v>
      </c>
    </row>
    <row r="638" spans="1:11" x14ac:dyDescent="0.2">
      <c r="A638" t="s">
        <v>11</v>
      </c>
      <c r="B638">
        <v>60</v>
      </c>
      <c r="C638" t="s">
        <v>20</v>
      </c>
      <c r="D638" t="s">
        <v>28</v>
      </c>
      <c r="E638" t="s">
        <v>61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0.75</v>
      </c>
    </row>
    <row r="639" spans="1:11" x14ac:dyDescent="0.2">
      <c r="A639" t="s">
        <v>11</v>
      </c>
      <c r="B639">
        <v>60</v>
      </c>
      <c r="C639" t="s">
        <v>20</v>
      </c>
      <c r="D639" t="s">
        <v>13</v>
      </c>
      <c r="E639" t="s">
        <v>37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0.75</v>
      </c>
    </row>
    <row r="640" spans="1:11" x14ac:dyDescent="0.2">
      <c r="A640" t="s">
        <v>11</v>
      </c>
      <c r="B640">
        <v>60</v>
      </c>
      <c r="C640" t="s">
        <v>22</v>
      </c>
      <c r="D640" t="s">
        <v>13</v>
      </c>
      <c r="E640" t="s">
        <v>54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0.1</v>
      </c>
    </row>
    <row r="641" spans="1:11" x14ac:dyDescent="0.2">
      <c r="A641" t="s">
        <v>11</v>
      </c>
      <c r="B641">
        <v>60</v>
      </c>
      <c r="C641" t="s">
        <v>22</v>
      </c>
      <c r="D641" t="s">
        <v>13</v>
      </c>
      <c r="E641" t="s">
        <v>55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1</v>
      </c>
    </row>
    <row r="642" spans="1:11" x14ac:dyDescent="0.2">
      <c r="A642" t="s">
        <v>11</v>
      </c>
      <c r="B642">
        <v>60</v>
      </c>
      <c r="C642" t="s">
        <v>22</v>
      </c>
      <c r="D642" t="s">
        <v>28</v>
      </c>
      <c r="E642" t="s">
        <v>62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1</v>
      </c>
    </row>
    <row r="643" spans="1:11" x14ac:dyDescent="0.2">
      <c r="A643" t="s">
        <v>11</v>
      </c>
      <c r="B643">
        <v>60</v>
      </c>
      <c r="C643" t="s">
        <v>17</v>
      </c>
      <c r="D643" t="s">
        <v>13</v>
      </c>
      <c r="E643" t="s">
        <v>41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0.1</v>
      </c>
    </row>
    <row r="644" spans="1:11" x14ac:dyDescent="0.2">
      <c r="A644" t="s">
        <v>11</v>
      </c>
      <c r="B644">
        <v>60</v>
      </c>
      <c r="C644" t="s">
        <v>42</v>
      </c>
      <c r="D644" t="s">
        <v>28</v>
      </c>
      <c r="E644" t="s">
        <v>43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0.75</v>
      </c>
    </row>
    <row r="645" spans="1:11" x14ac:dyDescent="0.2">
      <c r="A645" t="s">
        <v>11</v>
      </c>
      <c r="B645">
        <v>60</v>
      </c>
      <c r="C645" t="s">
        <v>45</v>
      </c>
      <c r="D645" t="s">
        <v>13</v>
      </c>
      <c r="E645" t="s">
        <v>47</v>
      </c>
      <c r="F645">
        <v>1</v>
      </c>
      <c r="G645">
        <v>0</v>
      </c>
      <c r="H645">
        <v>1</v>
      </c>
      <c r="I645">
        <v>0</v>
      </c>
      <c r="J645">
        <v>2</v>
      </c>
      <c r="K645">
        <v>1.5</v>
      </c>
    </row>
    <row r="646" spans="1:11" x14ac:dyDescent="0.2">
      <c r="A646" t="s">
        <v>11</v>
      </c>
      <c r="B646">
        <v>60</v>
      </c>
      <c r="C646" t="s">
        <v>45</v>
      </c>
      <c r="D646" t="s">
        <v>18</v>
      </c>
      <c r="E646" t="s">
        <v>48</v>
      </c>
      <c r="F646">
        <v>0</v>
      </c>
      <c r="G646">
        <v>0</v>
      </c>
      <c r="H646">
        <v>2</v>
      </c>
      <c r="I646">
        <v>0</v>
      </c>
      <c r="J646">
        <v>2</v>
      </c>
      <c r="K646">
        <v>1</v>
      </c>
    </row>
    <row r="647" spans="1:11" x14ac:dyDescent="0.2">
      <c r="A647" t="s">
        <v>11</v>
      </c>
      <c r="B647">
        <v>60</v>
      </c>
      <c r="C647" t="s">
        <v>45</v>
      </c>
      <c r="D647" t="s">
        <v>28</v>
      </c>
      <c r="E647" t="s">
        <v>48</v>
      </c>
      <c r="F647">
        <v>0</v>
      </c>
      <c r="G647">
        <v>0</v>
      </c>
      <c r="H647">
        <v>2</v>
      </c>
      <c r="I647">
        <v>0</v>
      </c>
      <c r="J647">
        <v>2</v>
      </c>
      <c r="K647">
        <v>1</v>
      </c>
    </row>
    <row r="648" spans="1:11" x14ac:dyDescent="0.2">
      <c r="A648" t="s">
        <v>11</v>
      </c>
      <c r="B648">
        <v>60</v>
      </c>
      <c r="C648" t="s">
        <v>45</v>
      </c>
      <c r="D648" t="s">
        <v>13</v>
      </c>
      <c r="E648" t="s">
        <v>79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0.5</v>
      </c>
    </row>
    <row r="649" spans="1:11" x14ac:dyDescent="0.2">
      <c r="A649" t="s">
        <v>11</v>
      </c>
      <c r="B649">
        <v>61</v>
      </c>
      <c r="C649" t="s">
        <v>20</v>
      </c>
      <c r="D649" t="s">
        <v>28</v>
      </c>
      <c r="E649" t="s">
        <v>29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0.75</v>
      </c>
    </row>
    <row r="650" spans="1:11" x14ac:dyDescent="0.2">
      <c r="A650" t="s">
        <v>11</v>
      </c>
      <c r="B650">
        <v>61</v>
      </c>
      <c r="C650" t="s">
        <v>20</v>
      </c>
      <c r="D650" t="s">
        <v>18</v>
      </c>
      <c r="E650" t="s">
        <v>57</v>
      </c>
      <c r="F650">
        <v>0</v>
      </c>
      <c r="G650">
        <v>3</v>
      </c>
      <c r="H650">
        <v>1</v>
      </c>
      <c r="I650">
        <v>0</v>
      </c>
      <c r="J650">
        <v>4</v>
      </c>
      <c r="K650">
        <v>2.75</v>
      </c>
    </row>
    <row r="651" spans="1:11" x14ac:dyDescent="0.2">
      <c r="A651" t="s">
        <v>11</v>
      </c>
      <c r="B651">
        <v>61</v>
      </c>
      <c r="C651" t="s">
        <v>20</v>
      </c>
      <c r="D651" t="s">
        <v>13</v>
      </c>
      <c r="E651" t="s">
        <v>33</v>
      </c>
      <c r="F651">
        <v>0</v>
      </c>
      <c r="G651">
        <v>2</v>
      </c>
      <c r="H651">
        <v>0</v>
      </c>
      <c r="I651">
        <v>0</v>
      </c>
      <c r="J651">
        <v>2</v>
      </c>
      <c r="K651">
        <v>1.5</v>
      </c>
    </row>
    <row r="652" spans="1:11" x14ac:dyDescent="0.2">
      <c r="A652" t="s">
        <v>11</v>
      </c>
      <c r="B652">
        <v>61</v>
      </c>
      <c r="C652" t="s">
        <v>20</v>
      </c>
      <c r="D652" t="s">
        <v>18</v>
      </c>
      <c r="E652" t="s">
        <v>35</v>
      </c>
      <c r="F652">
        <v>0</v>
      </c>
      <c r="G652">
        <v>0</v>
      </c>
      <c r="H652">
        <v>7</v>
      </c>
      <c r="I652">
        <v>0</v>
      </c>
      <c r="J652">
        <v>7</v>
      </c>
      <c r="K652">
        <v>3.5</v>
      </c>
    </row>
    <row r="653" spans="1:11" x14ac:dyDescent="0.2">
      <c r="A653" t="s">
        <v>11</v>
      </c>
      <c r="B653">
        <v>61</v>
      </c>
      <c r="C653" t="s">
        <v>15</v>
      </c>
      <c r="D653" t="s">
        <v>28</v>
      </c>
      <c r="E653" t="s">
        <v>57</v>
      </c>
      <c r="F653">
        <v>0</v>
      </c>
      <c r="G653">
        <v>3</v>
      </c>
      <c r="H653">
        <v>1</v>
      </c>
      <c r="I653">
        <v>0</v>
      </c>
      <c r="J653">
        <v>4</v>
      </c>
      <c r="K653">
        <v>2.75</v>
      </c>
    </row>
    <row r="654" spans="1:11" x14ac:dyDescent="0.2">
      <c r="A654" t="s">
        <v>11</v>
      </c>
      <c r="B654">
        <v>61</v>
      </c>
      <c r="C654" t="s">
        <v>15</v>
      </c>
      <c r="D654" t="s">
        <v>13</v>
      </c>
      <c r="E654" t="s">
        <v>38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0.5</v>
      </c>
    </row>
    <row r="655" spans="1:11" x14ac:dyDescent="0.2">
      <c r="A655" t="s">
        <v>11</v>
      </c>
      <c r="B655">
        <v>61</v>
      </c>
      <c r="C655" t="s">
        <v>15</v>
      </c>
      <c r="D655" t="s">
        <v>13</v>
      </c>
      <c r="E655" t="s">
        <v>111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0.6</v>
      </c>
    </row>
    <row r="656" spans="1:11" x14ac:dyDescent="0.2">
      <c r="A656" t="s">
        <v>11</v>
      </c>
      <c r="B656">
        <v>61</v>
      </c>
      <c r="C656" t="s">
        <v>15</v>
      </c>
      <c r="D656" t="s">
        <v>18</v>
      </c>
      <c r="E656" t="s">
        <v>111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0.6</v>
      </c>
    </row>
    <row r="657" spans="1:11" x14ac:dyDescent="0.2">
      <c r="A657" t="s">
        <v>11</v>
      </c>
      <c r="B657">
        <v>61</v>
      </c>
      <c r="C657" t="s">
        <v>22</v>
      </c>
      <c r="D657" t="s">
        <v>13</v>
      </c>
      <c r="E657" t="s">
        <v>55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1</v>
      </c>
    </row>
    <row r="658" spans="1:11" x14ac:dyDescent="0.2">
      <c r="A658" t="s">
        <v>11</v>
      </c>
      <c r="B658">
        <v>61</v>
      </c>
      <c r="C658" t="s">
        <v>22</v>
      </c>
      <c r="D658" t="s">
        <v>28</v>
      </c>
      <c r="E658" t="s">
        <v>114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1</v>
      </c>
    </row>
    <row r="659" spans="1:11" x14ac:dyDescent="0.2">
      <c r="A659" t="s">
        <v>11</v>
      </c>
      <c r="B659">
        <v>61</v>
      </c>
      <c r="C659" t="s">
        <v>22</v>
      </c>
      <c r="D659" t="s">
        <v>18</v>
      </c>
      <c r="E659" t="s">
        <v>38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0.5</v>
      </c>
    </row>
    <row r="660" spans="1:11" x14ac:dyDescent="0.2">
      <c r="A660" t="s">
        <v>11</v>
      </c>
      <c r="B660">
        <v>61</v>
      </c>
      <c r="C660" t="s">
        <v>17</v>
      </c>
      <c r="D660" t="s">
        <v>13</v>
      </c>
      <c r="E660" t="s">
        <v>41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0.1</v>
      </c>
    </row>
    <row r="661" spans="1:11" x14ac:dyDescent="0.2">
      <c r="A661" t="s">
        <v>11</v>
      </c>
      <c r="B661">
        <v>61</v>
      </c>
      <c r="C661" t="s">
        <v>42</v>
      </c>
      <c r="D661" t="s">
        <v>28</v>
      </c>
      <c r="E661" t="s">
        <v>51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0.5</v>
      </c>
    </row>
    <row r="662" spans="1:11" x14ac:dyDescent="0.2">
      <c r="A662" t="s">
        <v>11</v>
      </c>
      <c r="B662">
        <v>61</v>
      </c>
      <c r="C662" t="s">
        <v>42</v>
      </c>
      <c r="D662" t="s">
        <v>13</v>
      </c>
      <c r="E662" t="s">
        <v>35</v>
      </c>
      <c r="F662">
        <v>0</v>
      </c>
      <c r="G662">
        <v>0</v>
      </c>
      <c r="H662">
        <v>7</v>
      </c>
      <c r="I662">
        <v>0</v>
      </c>
      <c r="J662">
        <v>7</v>
      </c>
      <c r="K662">
        <v>3.5</v>
      </c>
    </row>
    <row r="663" spans="1:11" x14ac:dyDescent="0.2">
      <c r="A663" t="s">
        <v>11</v>
      </c>
      <c r="B663">
        <v>61</v>
      </c>
      <c r="C663" t="s">
        <v>42</v>
      </c>
      <c r="D663" t="s">
        <v>18</v>
      </c>
      <c r="E663" t="s">
        <v>44</v>
      </c>
      <c r="F663">
        <v>0</v>
      </c>
      <c r="G663">
        <v>0</v>
      </c>
      <c r="H663">
        <v>7</v>
      </c>
      <c r="I663">
        <v>0</v>
      </c>
      <c r="J663">
        <v>7</v>
      </c>
      <c r="K663">
        <v>3.5</v>
      </c>
    </row>
    <row r="664" spans="1:11" x14ac:dyDescent="0.2">
      <c r="A664" t="s">
        <v>11</v>
      </c>
      <c r="B664">
        <v>61</v>
      </c>
      <c r="C664" t="s">
        <v>42</v>
      </c>
      <c r="D664" t="s">
        <v>13</v>
      </c>
      <c r="E664" t="s">
        <v>52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0.5</v>
      </c>
    </row>
    <row r="665" spans="1:11" x14ac:dyDescent="0.2">
      <c r="A665" t="s">
        <v>11</v>
      </c>
      <c r="B665">
        <v>61</v>
      </c>
      <c r="C665" t="s">
        <v>42</v>
      </c>
      <c r="D665" t="s">
        <v>13</v>
      </c>
      <c r="E665" t="s">
        <v>56</v>
      </c>
      <c r="F665">
        <v>0</v>
      </c>
      <c r="G665">
        <v>0</v>
      </c>
      <c r="H665">
        <v>0</v>
      </c>
      <c r="I665">
        <v>2</v>
      </c>
      <c r="J665">
        <v>2</v>
      </c>
      <c r="K665">
        <v>0.2</v>
      </c>
    </row>
    <row r="666" spans="1:11" x14ac:dyDescent="0.2">
      <c r="A666" t="s">
        <v>11</v>
      </c>
      <c r="B666">
        <v>61</v>
      </c>
      <c r="C666" t="s">
        <v>45</v>
      </c>
      <c r="D666" t="s">
        <v>13</v>
      </c>
      <c r="E666" t="s">
        <v>111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0.6</v>
      </c>
    </row>
    <row r="667" spans="1:11" x14ac:dyDescent="0.2">
      <c r="A667" t="s">
        <v>11</v>
      </c>
      <c r="B667">
        <v>61</v>
      </c>
      <c r="C667" t="s">
        <v>45</v>
      </c>
      <c r="D667" t="s">
        <v>18</v>
      </c>
      <c r="E667" t="s">
        <v>111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0.6</v>
      </c>
    </row>
    <row r="668" spans="1:11" x14ac:dyDescent="0.2">
      <c r="A668" t="s">
        <v>11</v>
      </c>
      <c r="B668">
        <v>61</v>
      </c>
      <c r="C668" t="s">
        <v>45</v>
      </c>
      <c r="D668" t="s">
        <v>13</v>
      </c>
      <c r="E668" t="s">
        <v>47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</row>
    <row r="669" spans="1:11" x14ac:dyDescent="0.2">
      <c r="A669" t="s">
        <v>11</v>
      </c>
      <c r="B669">
        <v>61</v>
      </c>
      <c r="C669" t="s">
        <v>45</v>
      </c>
      <c r="D669" t="s">
        <v>18</v>
      </c>
      <c r="E669" t="s">
        <v>48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0.5</v>
      </c>
    </row>
    <row r="670" spans="1:11" x14ac:dyDescent="0.2">
      <c r="A670" t="s">
        <v>11</v>
      </c>
      <c r="B670">
        <v>61</v>
      </c>
      <c r="C670" t="s">
        <v>45</v>
      </c>
      <c r="D670" t="s">
        <v>28</v>
      </c>
      <c r="E670" t="s">
        <v>48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0.5</v>
      </c>
    </row>
    <row r="671" spans="1:11" x14ac:dyDescent="0.2">
      <c r="A671" t="s">
        <v>11</v>
      </c>
      <c r="B671">
        <v>61</v>
      </c>
      <c r="C671" t="s">
        <v>45</v>
      </c>
      <c r="D671" t="s">
        <v>13</v>
      </c>
      <c r="E671" t="s">
        <v>79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0.5</v>
      </c>
    </row>
    <row r="672" spans="1:11" x14ac:dyDescent="0.2">
      <c r="A672" t="s">
        <v>11</v>
      </c>
      <c r="B672">
        <v>62</v>
      </c>
      <c r="C672" t="s">
        <v>20</v>
      </c>
      <c r="D672" t="s">
        <v>28</v>
      </c>
      <c r="E672" t="s">
        <v>29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0.75</v>
      </c>
    </row>
    <row r="673" spans="1:11" x14ac:dyDescent="0.2">
      <c r="A673" t="s">
        <v>11</v>
      </c>
      <c r="B673">
        <v>62</v>
      </c>
      <c r="C673" t="s">
        <v>20</v>
      </c>
      <c r="D673" t="s">
        <v>13</v>
      </c>
      <c r="E673" t="s">
        <v>37</v>
      </c>
      <c r="F673">
        <v>1</v>
      </c>
      <c r="G673">
        <v>1</v>
      </c>
      <c r="H673">
        <v>0</v>
      </c>
      <c r="I673">
        <v>1</v>
      </c>
      <c r="J673">
        <v>3</v>
      </c>
      <c r="K673">
        <v>1.85</v>
      </c>
    </row>
    <row r="674" spans="1:11" x14ac:dyDescent="0.2">
      <c r="A674" t="s">
        <v>11</v>
      </c>
      <c r="B674">
        <v>62</v>
      </c>
      <c r="C674" t="s">
        <v>15</v>
      </c>
      <c r="D674" t="s">
        <v>13</v>
      </c>
      <c r="E674" t="s">
        <v>38</v>
      </c>
      <c r="F674">
        <v>0</v>
      </c>
      <c r="G674">
        <v>0</v>
      </c>
      <c r="H674">
        <v>8</v>
      </c>
      <c r="I674">
        <v>1</v>
      </c>
      <c r="J674">
        <v>9</v>
      </c>
      <c r="K674">
        <v>4.0999999999999996</v>
      </c>
    </row>
    <row r="675" spans="1:11" x14ac:dyDescent="0.2">
      <c r="A675" t="s">
        <v>11</v>
      </c>
      <c r="B675">
        <v>62</v>
      </c>
      <c r="C675" t="s">
        <v>22</v>
      </c>
      <c r="D675" t="s">
        <v>13</v>
      </c>
      <c r="E675" t="s">
        <v>55</v>
      </c>
      <c r="F675">
        <v>2</v>
      </c>
      <c r="G675">
        <v>0</v>
      </c>
      <c r="H675">
        <v>0</v>
      </c>
      <c r="I675">
        <v>0</v>
      </c>
      <c r="J675">
        <v>2</v>
      </c>
      <c r="K675">
        <v>2</v>
      </c>
    </row>
    <row r="676" spans="1:11" x14ac:dyDescent="0.2">
      <c r="A676" t="s">
        <v>11</v>
      </c>
      <c r="B676">
        <v>62</v>
      </c>
      <c r="C676" t="s">
        <v>22</v>
      </c>
      <c r="D676" t="s">
        <v>18</v>
      </c>
      <c r="E676" t="s">
        <v>38</v>
      </c>
      <c r="F676">
        <v>0</v>
      </c>
      <c r="G676">
        <v>0</v>
      </c>
      <c r="H676">
        <v>8</v>
      </c>
      <c r="I676">
        <v>1</v>
      </c>
      <c r="J676">
        <v>9</v>
      </c>
      <c r="K676">
        <v>4.0999999999999996</v>
      </c>
    </row>
    <row r="677" spans="1:11" x14ac:dyDescent="0.2">
      <c r="A677" t="s">
        <v>11</v>
      </c>
      <c r="B677">
        <v>62</v>
      </c>
      <c r="C677" t="s">
        <v>17</v>
      </c>
      <c r="D677" t="s">
        <v>13</v>
      </c>
      <c r="E677" t="s">
        <v>41</v>
      </c>
      <c r="F677">
        <v>0</v>
      </c>
      <c r="G677">
        <v>0</v>
      </c>
      <c r="H677">
        <v>0</v>
      </c>
      <c r="I677">
        <v>2</v>
      </c>
      <c r="J677">
        <v>2</v>
      </c>
      <c r="K677">
        <v>0.2</v>
      </c>
    </row>
    <row r="678" spans="1:11" x14ac:dyDescent="0.2">
      <c r="A678" t="s">
        <v>11</v>
      </c>
      <c r="B678">
        <v>62</v>
      </c>
      <c r="C678" t="s">
        <v>42</v>
      </c>
      <c r="D678" t="s">
        <v>28</v>
      </c>
      <c r="E678" t="s">
        <v>43</v>
      </c>
      <c r="F678">
        <v>0</v>
      </c>
      <c r="G678">
        <v>2</v>
      </c>
      <c r="H678">
        <v>1</v>
      </c>
      <c r="I678">
        <v>0</v>
      </c>
      <c r="J678">
        <v>3</v>
      </c>
      <c r="K678">
        <v>2.1</v>
      </c>
    </row>
    <row r="679" spans="1:11" x14ac:dyDescent="0.2">
      <c r="A679" t="s">
        <v>11</v>
      </c>
      <c r="B679">
        <v>62</v>
      </c>
      <c r="C679" t="s">
        <v>42</v>
      </c>
      <c r="D679" t="s">
        <v>13</v>
      </c>
      <c r="E679" t="s">
        <v>56</v>
      </c>
      <c r="F679">
        <v>0</v>
      </c>
      <c r="G679">
        <v>0</v>
      </c>
      <c r="H679">
        <v>3</v>
      </c>
      <c r="I679">
        <v>0</v>
      </c>
      <c r="J679">
        <v>3</v>
      </c>
      <c r="K679">
        <v>1.5</v>
      </c>
    </row>
    <row r="680" spans="1:11" x14ac:dyDescent="0.2">
      <c r="A680" t="s">
        <v>11</v>
      </c>
      <c r="B680">
        <v>63</v>
      </c>
      <c r="C680" t="s">
        <v>17</v>
      </c>
      <c r="D680" t="s">
        <v>13</v>
      </c>
      <c r="E680" t="s">
        <v>41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0.1</v>
      </c>
    </row>
    <row r="681" spans="1:11" x14ac:dyDescent="0.2">
      <c r="A681" t="s">
        <v>11</v>
      </c>
      <c r="B681">
        <v>63</v>
      </c>
      <c r="C681" t="s">
        <v>42</v>
      </c>
      <c r="D681" t="s">
        <v>18</v>
      </c>
      <c r="E681" t="s">
        <v>108</v>
      </c>
      <c r="F681">
        <v>1</v>
      </c>
      <c r="G681">
        <v>0</v>
      </c>
      <c r="H681">
        <v>1</v>
      </c>
      <c r="I681">
        <v>0</v>
      </c>
      <c r="J681">
        <v>2</v>
      </c>
      <c r="K681">
        <v>1.5</v>
      </c>
    </row>
    <row r="682" spans="1:11" x14ac:dyDescent="0.2">
      <c r="A682" t="s">
        <v>11</v>
      </c>
      <c r="B682">
        <v>63</v>
      </c>
      <c r="C682" t="s">
        <v>42</v>
      </c>
      <c r="D682" t="s">
        <v>13</v>
      </c>
      <c r="E682" t="s">
        <v>52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1</v>
      </c>
    </row>
    <row r="683" spans="1:11" x14ac:dyDescent="0.2">
      <c r="A683" t="s">
        <v>11</v>
      </c>
      <c r="B683">
        <v>63</v>
      </c>
      <c r="C683" t="s">
        <v>42</v>
      </c>
      <c r="D683" t="s">
        <v>13</v>
      </c>
      <c r="E683" t="s">
        <v>56</v>
      </c>
      <c r="F683">
        <v>0</v>
      </c>
      <c r="G683">
        <v>0</v>
      </c>
      <c r="H683">
        <v>2</v>
      </c>
      <c r="I683">
        <v>0</v>
      </c>
      <c r="J683">
        <v>2</v>
      </c>
      <c r="K683">
        <v>1</v>
      </c>
    </row>
    <row r="684" spans="1:11" x14ac:dyDescent="0.2">
      <c r="A684" t="s">
        <v>11</v>
      </c>
      <c r="B684">
        <v>64</v>
      </c>
      <c r="C684" t="s">
        <v>12</v>
      </c>
      <c r="D684" t="s">
        <v>13</v>
      </c>
      <c r="E684" t="s">
        <v>65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0.1</v>
      </c>
    </row>
    <row r="685" spans="1:11" x14ac:dyDescent="0.2">
      <c r="A685" t="s">
        <v>11</v>
      </c>
      <c r="B685">
        <v>64</v>
      </c>
      <c r="C685" t="s">
        <v>22</v>
      </c>
      <c r="D685" t="s">
        <v>13</v>
      </c>
      <c r="E685" t="s">
        <v>65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0.1</v>
      </c>
    </row>
    <row r="686" spans="1:11" x14ac:dyDescent="0.2">
      <c r="A686" t="s">
        <v>11</v>
      </c>
      <c r="B686">
        <v>64</v>
      </c>
      <c r="C686" t="s">
        <v>42</v>
      </c>
      <c r="D686" t="s">
        <v>18</v>
      </c>
      <c r="E686" t="s">
        <v>112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0.5</v>
      </c>
    </row>
    <row r="687" spans="1:11" x14ac:dyDescent="0.2">
      <c r="A687" t="s">
        <v>11</v>
      </c>
      <c r="B687">
        <v>65</v>
      </c>
      <c r="C687" t="s">
        <v>20</v>
      </c>
      <c r="D687" t="s">
        <v>28</v>
      </c>
      <c r="E687" t="s">
        <v>29</v>
      </c>
      <c r="F687">
        <v>3</v>
      </c>
      <c r="G687">
        <v>1</v>
      </c>
      <c r="H687">
        <v>0</v>
      </c>
      <c r="I687">
        <v>0</v>
      </c>
      <c r="J687">
        <v>4</v>
      </c>
      <c r="K687">
        <v>3.75</v>
      </c>
    </row>
    <row r="688" spans="1:11" x14ac:dyDescent="0.2">
      <c r="A688" t="s">
        <v>11</v>
      </c>
      <c r="B688">
        <v>65</v>
      </c>
      <c r="C688" t="s">
        <v>20</v>
      </c>
      <c r="D688" t="s">
        <v>18</v>
      </c>
      <c r="E688" t="s">
        <v>57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0.5</v>
      </c>
    </row>
    <row r="689" spans="1:11" x14ac:dyDescent="0.2">
      <c r="A689" t="s">
        <v>11</v>
      </c>
      <c r="B689">
        <v>65</v>
      </c>
      <c r="C689" t="s">
        <v>20</v>
      </c>
      <c r="D689" t="s">
        <v>18</v>
      </c>
      <c r="E689" t="s">
        <v>35</v>
      </c>
      <c r="F689">
        <v>0</v>
      </c>
      <c r="G689">
        <v>0</v>
      </c>
      <c r="H689">
        <v>5</v>
      </c>
      <c r="I689">
        <v>0</v>
      </c>
      <c r="J689">
        <v>5</v>
      </c>
      <c r="K689">
        <v>2.5</v>
      </c>
    </row>
    <row r="690" spans="1:11" x14ac:dyDescent="0.2">
      <c r="A690" t="s">
        <v>11</v>
      </c>
      <c r="B690">
        <v>65</v>
      </c>
      <c r="C690" t="s">
        <v>20</v>
      </c>
      <c r="D690" t="s">
        <v>13</v>
      </c>
      <c r="E690" t="s">
        <v>37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0.75</v>
      </c>
    </row>
    <row r="691" spans="1:11" x14ac:dyDescent="0.2">
      <c r="A691" t="s">
        <v>11</v>
      </c>
      <c r="B691">
        <v>65</v>
      </c>
      <c r="C691" t="s">
        <v>15</v>
      </c>
      <c r="D691" t="s">
        <v>28</v>
      </c>
      <c r="E691" t="s">
        <v>57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0.5</v>
      </c>
    </row>
    <row r="692" spans="1:11" x14ac:dyDescent="0.2">
      <c r="A692" t="s">
        <v>11</v>
      </c>
      <c r="B692">
        <v>65</v>
      </c>
      <c r="C692" t="s">
        <v>22</v>
      </c>
      <c r="D692" t="s">
        <v>13</v>
      </c>
      <c r="E692" t="s">
        <v>54</v>
      </c>
      <c r="F692">
        <v>1</v>
      </c>
      <c r="G692">
        <v>0</v>
      </c>
      <c r="H692">
        <v>0</v>
      </c>
      <c r="I692">
        <v>0</v>
      </c>
      <c r="J692">
        <v>1</v>
      </c>
      <c r="K692">
        <v>1</v>
      </c>
    </row>
    <row r="693" spans="1:11" x14ac:dyDescent="0.2">
      <c r="A693" t="s">
        <v>11</v>
      </c>
      <c r="B693">
        <v>65</v>
      </c>
      <c r="C693" t="s">
        <v>17</v>
      </c>
      <c r="D693" t="s">
        <v>18</v>
      </c>
      <c r="E693" t="s">
        <v>82</v>
      </c>
      <c r="F693">
        <v>0</v>
      </c>
      <c r="G693">
        <v>1</v>
      </c>
      <c r="H693">
        <v>0</v>
      </c>
      <c r="I693">
        <v>0</v>
      </c>
      <c r="J693">
        <v>1</v>
      </c>
      <c r="K693">
        <v>0.75</v>
      </c>
    </row>
    <row r="694" spans="1:11" x14ac:dyDescent="0.2">
      <c r="A694" t="s">
        <v>11</v>
      </c>
      <c r="B694">
        <v>65</v>
      </c>
      <c r="C694" t="s">
        <v>42</v>
      </c>
      <c r="D694" t="s">
        <v>28</v>
      </c>
      <c r="E694" t="s">
        <v>43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0.75</v>
      </c>
    </row>
    <row r="695" spans="1:11" x14ac:dyDescent="0.2">
      <c r="A695" t="s">
        <v>11</v>
      </c>
      <c r="B695">
        <v>65</v>
      </c>
      <c r="C695" t="s">
        <v>42</v>
      </c>
      <c r="D695" t="s">
        <v>13</v>
      </c>
      <c r="E695" t="s">
        <v>88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0.5</v>
      </c>
    </row>
    <row r="696" spans="1:11" x14ac:dyDescent="0.2">
      <c r="A696" t="s">
        <v>11</v>
      </c>
      <c r="B696">
        <v>65</v>
      </c>
      <c r="C696" t="s">
        <v>42</v>
      </c>
      <c r="D696" t="s">
        <v>13</v>
      </c>
      <c r="E696" t="s">
        <v>35</v>
      </c>
      <c r="F696">
        <v>0</v>
      </c>
      <c r="G696">
        <v>0</v>
      </c>
      <c r="H696">
        <v>5</v>
      </c>
      <c r="I696">
        <v>0</v>
      </c>
      <c r="J696">
        <v>5</v>
      </c>
      <c r="K696">
        <v>2.5</v>
      </c>
    </row>
    <row r="697" spans="1:11" x14ac:dyDescent="0.2">
      <c r="A697" t="s">
        <v>11</v>
      </c>
      <c r="B697">
        <v>65</v>
      </c>
      <c r="C697" t="s">
        <v>42</v>
      </c>
      <c r="D697" t="s">
        <v>18</v>
      </c>
      <c r="E697" t="s">
        <v>44</v>
      </c>
      <c r="F697">
        <v>0</v>
      </c>
      <c r="G697">
        <v>0</v>
      </c>
      <c r="H697">
        <v>5</v>
      </c>
      <c r="I697">
        <v>0</v>
      </c>
      <c r="J697">
        <v>5</v>
      </c>
      <c r="K697">
        <v>2.8</v>
      </c>
    </row>
    <row r="698" spans="1:11" x14ac:dyDescent="0.2">
      <c r="A698" t="s">
        <v>11</v>
      </c>
      <c r="B698">
        <v>66</v>
      </c>
      <c r="C698" t="s">
        <v>20</v>
      </c>
      <c r="D698" t="s">
        <v>28</v>
      </c>
      <c r="E698" t="s">
        <v>29</v>
      </c>
      <c r="F698">
        <v>6</v>
      </c>
      <c r="G698">
        <v>0</v>
      </c>
      <c r="H698">
        <v>1</v>
      </c>
      <c r="I698">
        <v>0</v>
      </c>
      <c r="J698">
        <v>7</v>
      </c>
      <c r="K698">
        <v>6.5</v>
      </c>
    </row>
    <row r="699" spans="1:11" x14ac:dyDescent="0.2">
      <c r="A699" t="s">
        <v>11</v>
      </c>
      <c r="B699">
        <v>66</v>
      </c>
      <c r="C699" t="s">
        <v>20</v>
      </c>
      <c r="D699" t="s">
        <v>18</v>
      </c>
      <c r="E699" t="s">
        <v>35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0.5</v>
      </c>
    </row>
    <row r="700" spans="1:11" x14ac:dyDescent="0.2">
      <c r="A700" t="s">
        <v>11</v>
      </c>
      <c r="B700">
        <v>66</v>
      </c>
      <c r="C700" t="s">
        <v>20</v>
      </c>
      <c r="D700" t="s">
        <v>13</v>
      </c>
      <c r="E700" t="s">
        <v>37</v>
      </c>
      <c r="F700">
        <v>2</v>
      </c>
      <c r="G700">
        <v>0</v>
      </c>
      <c r="H700">
        <v>0</v>
      </c>
      <c r="I700">
        <v>1</v>
      </c>
      <c r="J700">
        <v>3</v>
      </c>
      <c r="K700">
        <v>2.1</v>
      </c>
    </row>
    <row r="701" spans="1:11" x14ac:dyDescent="0.2">
      <c r="A701" t="s">
        <v>11</v>
      </c>
      <c r="B701">
        <v>66</v>
      </c>
      <c r="C701" t="s">
        <v>42</v>
      </c>
      <c r="D701" t="s">
        <v>28</v>
      </c>
      <c r="E701" t="s">
        <v>43</v>
      </c>
      <c r="F701">
        <v>0</v>
      </c>
      <c r="G701">
        <v>2</v>
      </c>
      <c r="H701">
        <v>1</v>
      </c>
      <c r="I701">
        <v>0</v>
      </c>
      <c r="J701">
        <v>3</v>
      </c>
      <c r="K701">
        <v>2.1</v>
      </c>
    </row>
    <row r="702" spans="1:11" x14ac:dyDescent="0.2">
      <c r="A702" t="s">
        <v>11</v>
      </c>
      <c r="B702">
        <v>66</v>
      </c>
      <c r="C702" t="s">
        <v>42</v>
      </c>
      <c r="D702" t="s">
        <v>13</v>
      </c>
      <c r="E702" t="s">
        <v>35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0.5</v>
      </c>
    </row>
    <row r="703" spans="1:11" x14ac:dyDescent="0.2">
      <c r="A703" t="s">
        <v>11</v>
      </c>
      <c r="B703">
        <v>66</v>
      </c>
      <c r="C703" t="s">
        <v>42</v>
      </c>
      <c r="D703" t="s">
        <v>18</v>
      </c>
      <c r="E703" t="s">
        <v>44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0.5</v>
      </c>
    </row>
    <row r="704" spans="1:11" x14ac:dyDescent="0.2">
      <c r="A704" t="s">
        <v>11</v>
      </c>
      <c r="B704">
        <v>66</v>
      </c>
      <c r="C704" t="s">
        <v>42</v>
      </c>
      <c r="D704" t="s">
        <v>13</v>
      </c>
      <c r="E704" t="s">
        <v>56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0.5</v>
      </c>
    </row>
    <row r="705" spans="1:11" x14ac:dyDescent="0.2">
      <c r="A705" t="s">
        <v>11</v>
      </c>
      <c r="B705">
        <v>67</v>
      </c>
      <c r="C705" t="s">
        <v>20</v>
      </c>
      <c r="D705" t="s">
        <v>18</v>
      </c>
      <c r="E705" t="s">
        <v>21</v>
      </c>
      <c r="F705">
        <v>3</v>
      </c>
      <c r="G705">
        <v>2</v>
      </c>
      <c r="H705">
        <v>0</v>
      </c>
      <c r="I705">
        <v>0</v>
      </c>
      <c r="J705">
        <v>5</v>
      </c>
      <c r="K705">
        <v>4.5</v>
      </c>
    </row>
    <row r="706" spans="1:11" x14ac:dyDescent="0.2">
      <c r="A706" t="s">
        <v>11</v>
      </c>
      <c r="B706">
        <v>67</v>
      </c>
      <c r="C706" t="s">
        <v>12</v>
      </c>
      <c r="D706" t="s">
        <v>13</v>
      </c>
      <c r="E706" t="s">
        <v>98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0.5</v>
      </c>
    </row>
    <row r="707" spans="1:11" x14ac:dyDescent="0.2">
      <c r="A707" t="s">
        <v>11</v>
      </c>
      <c r="B707">
        <v>67</v>
      </c>
      <c r="C707" t="s">
        <v>22</v>
      </c>
      <c r="D707" t="s">
        <v>13</v>
      </c>
      <c r="E707" t="s">
        <v>55</v>
      </c>
      <c r="F707">
        <v>1</v>
      </c>
      <c r="G707">
        <v>0</v>
      </c>
      <c r="H707">
        <v>0</v>
      </c>
      <c r="I707">
        <v>0</v>
      </c>
      <c r="J707">
        <v>1</v>
      </c>
      <c r="K707">
        <v>1</v>
      </c>
    </row>
    <row r="708" spans="1:11" x14ac:dyDescent="0.2">
      <c r="A708" t="s">
        <v>11</v>
      </c>
      <c r="B708">
        <v>67</v>
      </c>
      <c r="C708" t="s">
        <v>17</v>
      </c>
      <c r="D708" t="s">
        <v>13</v>
      </c>
      <c r="E708" t="s">
        <v>40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0.1</v>
      </c>
    </row>
    <row r="709" spans="1:11" x14ac:dyDescent="0.2">
      <c r="A709" t="s">
        <v>11</v>
      </c>
      <c r="B709">
        <v>67</v>
      </c>
      <c r="C709" t="s">
        <v>17</v>
      </c>
      <c r="D709" t="s">
        <v>28</v>
      </c>
      <c r="E709" t="s">
        <v>115</v>
      </c>
      <c r="F709">
        <v>0</v>
      </c>
      <c r="G709">
        <v>0</v>
      </c>
      <c r="H709">
        <v>0</v>
      </c>
      <c r="I709">
        <v>1</v>
      </c>
      <c r="J709">
        <v>1</v>
      </c>
      <c r="K709">
        <v>0.1</v>
      </c>
    </row>
    <row r="710" spans="1:11" x14ac:dyDescent="0.2">
      <c r="A710" t="s">
        <v>11</v>
      </c>
      <c r="B710">
        <v>67</v>
      </c>
      <c r="C710" t="s">
        <v>17</v>
      </c>
      <c r="D710" t="s">
        <v>13</v>
      </c>
      <c r="E710" t="s">
        <v>109</v>
      </c>
      <c r="F710">
        <v>0</v>
      </c>
      <c r="G710">
        <v>0</v>
      </c>
      <c r="H710">
        <v>0</v>
      </c>
      <c r="I710">
        <v>3</v>
      </c>
      <c r="J710">
        <v>3</v>
      </c>
      <c r="K710">
        <v>0.3</v>
      </c>
    </row>
    <row r="711" spans="1:11" x14ac:dyDescent="0.2">
      <c r="A711" t="s">
        <v>11</v>
      </c>
      <c r="B711">
        <v>67</v>
      </c>
      <c r="C711" t="s">
        <v>42</v>
      </c>
      <c r="D711" t="s">
        <v>28</v>
      </c>
      <c r="E711" t="s">
        <v>115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0.1</v>
      </c>
    </row>
    <row r="712" spans="1:11" x14ac:dyDescent="0.2">
      <c r="A712" t="s">
        <v>11</v>
      </c>
      <c r="B712">
        <v>67</v>
      </c>
      <c r="C712" t="s">
        <v>45</v>
      </c>
      <c r="D712" t="s">
        <v>28</v>
      </c>
      <c r="E712" t="s">
        <v>116</v>
      </c>
      <c r="F712">
        <v>0</v>
      </c>
      <c r="G712">
        <v>2</v>
      </c>
      <c r="H712">
        <v>0</v>
      </c>
      <c r="I712">
        <v>0</v>
      </c>
      <c r="J712">
        <v>2</v>
      </c>
      <c r="K712">
        <v>1.5</v>
      </c>
    </row>
    <row r="713" spans="1:11" x14ac:dyDescent="0.2">
      <c r="A713" t="s">
        <v>11</v>
      </c>
      <c r="B713">
        <v>68</v>
      </c>
      <c r="C713" t="s">
        <v>20</v>
      </c>
      <c r="D713" t="s">
        <v>18</v>
      </c>
      <c r="E713" t="s">
        <v>21</v>
      </c>
      <c r="F713">
        <v>3</v>
      </c>
      <c r="G713">
        <v>1</v>
      </c>
      <c r="H713">
        <v>0</v>
      </c>
      <c r="I713">
        <v>0</v>
      </c>
      <c r="J713">
        <v>4</v>
      </c>
      <c r="K713">
        <v>3.75</v>
      </c>
    </row>
    <row r="714" spans="1:11" x14ac:dyDescent="0.2">
      <c r="A714" t="s">
        <v>11</v>
      </c>
      <c r="B714">
        <v>68</v>
      </c>
      <c r="C714" t="s">
        <v>20</v>
      </c>
      <c r="D714" t="s">
        <v>28</v>
      </c>
      <c r="E714" t="s">
        <v>29</v>
      </c>
      <c r="F714">
        <v>0</v>
      </c>
      <c r="G714">
        <v>2</v>
      </c>
      <c r="H714">
        <v>0</v>
      </c>
      <c r="I714">
        <v>0</v>
      </c>
      <c r="J714">
        <v>2</v>
      </c>
      <c r="K714">
        <v>1.5</v>
      </c>
    </row>
    <row r="715" spans="1:11" x14ac:dyDescent="0.2">
      <c r="A715" t="s">
        <v>11</v>
      </c>
      <c r="B715">
        <v>68</v>
      </c>
      <c r="C715" t="s">
        <v>20</v>
      </c>
      <c r="D715" t="s">
        <v>13</v>
      </c>
      <c r="E715" t="s">
        <v>37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0.1</v>
      </c>
    </row>
    <row r="716" spans="1:11" x14ac:dyDescent="0.2">
      <c r="A716" t="s">
        <v>11</v>
      </c>
      <c r="B716">
        <v>68</v>
      </c>
      <c r="C716" t="s">
        <v>12</v>
      </c>
      <c r="D716" t="s">
        <v>18</v>
      </c>
      <c r="E716" t="s">
        <v>117</v>
      </c>
      <c r="F716">
        <v>1</v>
      </c>
      <c r="G716">
        <v>0</v>
      </c>
      <c r="H716">
        <v>0</v>
      </c>
      <c r="I716">
        <v>0</v>
      </c>
      <c r="J716">
        <v>1</v>
      </c>
      <c r="K716">
        <v>1</v>
      </c>
    </row>
    <row r="717" spans="1:11" x14ac:dyDescent="0.2">
      <c r="A717" t="s">
        <v>11</v>
      </c>
      <c r="B717">
        <v>68</v>
      </c>
      <c r="C717" t="s">
        <v>12</v>
      </c>
      <c r="D717" t="s">
        <v>13</v>
      </c>
      <c r="E717" t="s">
        <v>118</v>
      </c>
      <c r="F717">
        <v>0</v>
      </c>
      <c r="G717">
        <v>1</v>
      </c>
      <c r="H717">
        <v>0</v>
      </c>
      <c r="I717">
        <v>0</v>
      </c>
      <c r="J717">
        <v>1</v>
      </c>
      <c r="K717">
        <v>0.75</v>
      </c>
    </row>
    <row r="718" spans="1:11" x14ac:dyDescent="0.2">
      <c r="A718" t="s">
        <v>11</v>
      </c>
      <c r="B718">
        <v>68</v>
      </c>
      <c r="C718" t="s">
        <v>12</v>
      </c>
      <c r="D718" t="s">
        <v>18</v>
      </c>
      <c r="E718" t="s">
        <v>118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0.75</v>
      </c>
    </row>
    <row r="719" spans="1:11" x14ac:dyDescent="0.2">
      <c r="A719" t="s">
        <v>11</v>
      </c>
      <c r="B719">
        <v>68</v>
      </c>
      <c r="C719" t="s">
        <v>12</v>
      </c>
      <c r="D719" t="s">
        <v>13</v>
      </c>
      <c r="E719" t="s">
        <v>74</v>
      </c>
      <c r="F719">
        <v>1</v>
      </c>
      <c r="G719">
        <v>0</v>
      </c>
      <c r="H719">
        <v>3</v>
      </c>
      <c r="I719">
        <v>0</v>
      </c>
      <c r="J719">
        <v>4</v>
      </c>
      <c r="K719">
        <v>2.5</v>
      </c>
    </row>
    <row r="720" spans="1:11" x14ac:dyDescent="0.2">
      <c r="A720" t="s">
        <v>11</v>
      </c>
      <c r="B720">
        <v>68</v>
      </c>
      <c r="C720" t="s">
        <v>12</v>
      </c>
      <c r="D720" t="s">
        <v>13</v>
      </c>
      <c r="E720" t="s">
        <v>98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0.5</v>
      </c>
    </row>
    <row r="721" spans="1:11" x14ac:dyDescent="0.2">
      <c r="A721" t="s">
        <v>11</v>
      </c>
      <c r="B721">
        <v>68</v>
      </c>
      <c r="C721" t="s">
        <v>15</v>
      </c>
      <c r="D721" t="s">
        <v>13</v>
      </c>
      <c r="E721" t="s">
        <v>39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0.5</v>
      </c>
    </row>
    <row r="722" spans="1:11" x14ac:dyDescent="0.2">
      <c r="A722" t="s">
        <v>11</v>
      </c>
      <c r="B722">
        <v>68</v>
      </c>
      <c r="C722" t="s">
        <v>22</v>
      </c>
      <c r="D722" t="s">
        <v>13</v>
      </c>
      <c r="E722" t="s">
        <v>54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0.1</v>
      </c>
    </row>
    <row r="723" spans="1:11" x14ac:dyDescent="0.2">
      <c r="A723" t="s">
        <v>11</v>
      </c>
      <c r="B723">
        <v>68</v>
      </c>
      <c r="C723" t="s">
        <v>17</v>
      </c>
      <c r="D723" t="s">
        <v>18</v>
      </c>
      <c r="E723" t="s">
        <v>119</v>
      </c>
      <c r="F723">
        <v>2</v>
      </c>
      <c r="G723">
        <v>0</v>
      </c>
      <c r="H723">
        <v>2</v>
      </c>
      <c r="I723">
        <v>0</v>
      </c>
      <c r="J723">
        <v>4</v>
      </c>
      <c r="K723">
        <v>3</v>
      </c>
    </row>
    <row r="724" spans="1:11" x14ac:dyDescent="0.2">
      <c r="A724" t="s">
        <v>11</v>
      </c>
      <c r="B724">
        <v>68</v>
      </c>
      <c r="C724" t="s">
        <v>17</v>
      </c>
      <c r="D724" t="s">
        <v>13</v>
      </c>
      <c r="E724" t="s">
        <v>40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0.1</v>
      </c>
    </row>
    <row r="725" spans="1:11" x14ac:dyDescent="0.2">
      <c r="A725" t="s">
        <v>11</v>
      </c>
      <c r="B725">
        <v>68</v>
      </c>
      <c r="C725" t="s">
        <v>17</v>
      </c>
      <c r="D725" t="s">
        <v>28</v>
      </c>
      <c r="E725" t="s">
        <v>115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0.5</v>
      </c>
    </row>
    <row r="726" spans="1:11" x14ac:dyDescent="0.2">
      <c r="A726" t="s">
        <v>11</v>
      </c>
      <c r="B726">
        <v>68</v>
      </c>
      <c r="C726" t="s">
        <v>17</v>
      </c>
      <c r="D726" t="s">
        <v>18</v>
      </c>
      <c r="E726" t="s">
        <v>93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0.1</v>
      </c>
    </row>
    <row r="727" spans="1:11" x14ac:dyDescent="0.2">
      <c r="A727" t="s">
        <v>11</v>
      </c>
      <c r="B727">
        <v>68</v>
      </c>
      <c r="C727" t="s">
        <v>17</v>
      </c>
      <c r="D727" t="s">
        <v>13</v>
      </c>
      <c r="E727" t="s">
        <v>109</v>
      </c>
      <c r="F727">
        <v>0</v>
      </c>
      <c r="G727">
        <v>0</v>
      </c>
      <c r="H727">
        <v>0</v>
      </c>
      <c r="I727">
        <v>7</v>
      </c>
      <c r="J727">
        <v>7</v>
      </c>
      <c r="K727">
        <v>0.7</v>
      </c>
    </row>
    <row r="728" spans="1:11" x14ac:dyDescent="0.2">
      <c r="A728" t="s">
        <v>11</v>
      </c>
      <c r="B728">
        <v>68</v>
      </c>
      <c r="C728" t="s">
        <v>17</v>
      </c>
      <c r="D728" t="s">
        <v>13</v>
      </c>
      <c r="E728" t="s">
        <v>69</v>
      </c>
      <c r="F728">
        <v>1</v>
      </c>
      <c r="G728">
        <v>0</v>
      </c>
      <c r="H728">
        <v>0</v>
      </c>
      <c r="I728">
        <v>0</v>
      </c>
      <c r="J728">
        <v>1</v>
      </c>
      <c r="K728">
        <v>1</v>
      </c>
    </row>
    <row r="729" spans="1:11" x14ac:dyDescent="0.2">
      <c r="A729" t="s">
        <v>11</v>
      </c>
      <c r="B729">
        <v>68</v>
      </c>
      <c r="C729" t="s">
        <v>17</v>
      </c>
      <c r="D729" t="s">
        <v>18</v>
      </c>
      <c r="E729" t="s">
        <v>69</v>
      </c>
      <c r="F729">
        <v>1</v>
      </c>
      <c r="G729">
        <v>0</v>
      </c>
      <c r="H729">
        <v>0</v>
      </c>
      <c r="I729">
        <v>0</v>
      </c>
      <c r="J729">
        <v>1</v>
      </c>
      <c r="K729">
        <v>1</v>
      </c>
    </row>
    <row r="730" spans="1:11" x14ac:dyDescent="0.2">
      <c r="A730" t="s">
        <v>11</v>
      </c>
      <c r="B730">
        <v>68</v>
      </c>
      <c r="C730" t="s">
        <v>42</v>
      </c>
      <c r="D730" t="s">
        <v>28</v>
      </c>
      <c r="E730" t="s">
        <v>43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0.6</v>
      </c>
    </row>
    <row r="731" spans="1:11" x14ac:dyDescent="0.2">
      <c r="A731" t="s">
        <v>11</v>
      </c>
      <c r="B731">
        <v>68</v>
      </c>
      <c r="C731" t="s">
        <v>42</v>
      </c>
      <c r="D731" t="s">
        <v>28</v>
      </c>
      <c r="E731" t="s">
        <v>115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0.5</v>
      </c>
    </row>
    <row r="732" spans="1:11" x14ac:dyDescent="0.2">
      <c r="A732" t="s">
        <v>11</v>
      </c>
      <c r="B732">
        <v>68</v>
      </c>
      <c r="C732" t="s">
        <v>42</v>
      </c>
      <c r="D732" t="s">
        <v>13</v>
      </c>
      <c r="E732" t="s">
        <v>56</v>
      </c>
      <c r="F732">
        <v>0</v>
      </c>
      <c r="G732">
        <v>0</v>
      </c>
      <c r="H732">
        <v>2</v>
      </c>
      <c r="I732">
        <v>0</v>
      </c>
      <c r="J732">
        <v>2</v>
      </c>
      <c r="K732">
        <v>1</v>
      </c>
    </row>
    <row r="733" spans="1:11" x14ac:dyDescent="0.2">
      <c r="A733" t="s">
        <v>11</v>
      </c>
      <c r="B733">
        <v>68</v>
      </c>
      <c r="C733" t="s">
        <v>45</v>
      </c>
      <c r="D733" t="s">
        <v>13</v>
      </c>
      <c r="E733" t="s">
        <v>77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0.1</v>
      </c>
    </row>
    <row r="734" spans="1:11" x14ac:dyDescent="0.2">
      <c r="A734" t="s">
        <v>11</v>
      </c>
      <c r="B734">
        <v>69</v>
      </c>
      <c r="C734" t="s">
        <v>20</v>
      </c>
      <c r="D734" t="s">
        <v>13</v>
      </c>
      <c r="E734" t="s">
        <v>33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0.75</v>
      </c>
    </row>
    <row r="735" spans="1:11" x14ac:dyDescent="0.2">
      <c r="A735" t="s">
        <v>11</v>
      </c>
      <c r="B735">
        <v>69</v>
      </c>
      <c r="C735" t="s">
        <v>20</v>
      </c>
      <c r="D735" t="s">
        <v>28</v>
      </c>
      <c r="E735" t="s">
        <v>61</v>
      </c>
      <c r="F735">
        <v>0</v>
      </c>
      <c r="G735">
        <v>0</v>
      </c>
      <c r="H735">
        <v>2</v>
      </c>
      <c r="I735">
        <v>0</v>
      </c>
      <c r="J735">
        <v>2</v>
      </c>
      <c r="K735">
        <v>1</v>
      </c>
    </row>
    <row r="736" spans="1:11" x14ac:dyDescent="0.2">
      <c r="A736" t="s">
        <v>11</v>
      </c>
      <c r="B736">
        <v>69</v>
      </c>
      <c r="C736" t="s">
        <v>20</v>
      </c>
      <c r="D736" t="s">
        <v>13</v>
      </c>
      <c r="E736" t="s">
        <v>37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0.1</v>
      </c>
    </row>
    <row r="737" spans="1:11" x14ac:dyDescent="0.2">
      <c r="A737" t="s">
        <v>11</v>
      </c>
      <c r="B737">
        <v>69</v>
      </c>
      <c r="C737" t="s">
        <v>12</v>
      </c>
      <c r="D737" t="s">
        <v>13</v>
      </c>
      <c r="E737" t="s">
        <v>24</v>
      </c>
      <c r="F737">
        <v>0</v>
      </c>
      <c r="G737">
        <v>0</v>
      </c>
      <c r="H737">
        <v>1</v>
      </c>
      <c r="I737">
        <v>0</v>
      </c>
      <c r="J737">
        <v>1</v>
      </c>
      <c r="K737">
        <v>0.5</v>
      </c>
    </row>
    <row r="738" spans="1:11" x14ac:dyDescent="0.2">
      <c r="A738" t="s">
        <v>11</v>
      </c>
      <c r="B738">
        <v>69</v>
      </c>
      <c r="C738" t="s">
        <v>15</v>
      </c>
      <c r="D738" t="s">
        <v>13</v>
      </c>
      <c r="E738" t="s">
        <v>38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0.5</v>
      </c>
    </row>
    <row r="739" spans="1:11" x14ac:dyDescent="0.2">
      <c r="A739" t="s">
        <v>11</v>
      </c>
      <c r="B739">
        <v>69</v>
      </c>
      <c r="C739" t="s">
        <v>15</v>
      </c>
      <c r="D739" t="s">
        <v>13</v>
      </c>
      <c r="E739" t="s">
        <v>39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0.5</v>
      </c>
    </row>
    <row r="740" spans="1:11" x14ac:dyDescent="0.2">
      <c r="A740" t="s">
        <v>11</v>
      </c>
      <c r="B740">
        <v>69</v>
      </c>
      <c r="C740" t="s">
        <v>15</v>
      </c>
      <c r="D740" t="s">
        <v>13</v>
      </c>
      <c r="E740" t="s">
        <v>16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0.5</v>
      </c>
    </row>
    <row r="741" spans="1:11" x14ac:dyDescent="0.2">
      <c r="A741" t="s">
        <v>11</v>
      </c>
      <c r="B741">
        <v>69</v>
      </c>
      <c r="C741" t="s">
        <v>15</v>
      </c>
      <c r="D741" t="s">
        <v>13</v>
      </c>
      <c r="E741" t="s">
        <v>67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0.5</v>
      </c>
    </row>
    <row r="742" spans="1:11" x14ac:dyDescent="0.2">
      <c r="A742" t="s">
        <v>11</v>
      </c>
      <c r="B742">
        <v>69</v>
      </c>
      <c r="C742" t="s">
        <v>22</v>
      </c>
      <c r="D742" t="s">
        <v>13</v>
      </c>
      <c r="E742" t="s">
        <v>25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0.1</v>
      </c>
    </row>
    <row r="743" spans="1:11" x14ac:dyDescent="0.2">
      <c r="A743" t="s">
        <v>11</v>
      </c>
      <c r="B743">
        <v>69</v>
      </c>
      <c r="C743" t="s">
        <v>22</v>
      </c>
      <c r="D743" t="s">
        <v>13</v>
      </c>
      <c r="E743" t="s">
        <v>55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1</v>
      </c>
    </row>
    <row r="744" spans="1:11" x14ac:dyDescent="0.2">
      <c r="A744" t="s">
        <v>11</v>
      </c>
      <c r="B744">
        <v>69</v>
      </c>
      <c r="C744" t="s">
        <v>22</v>
      </c>
      <c r="D744" t="s">
        <v>18</v>
      </c>
      <c r="E744" t="s">
        <v>38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0.5</v>
      </c>
    </row>
    <row r="745" spans="1:11" x14ac:dyDescent="0.2">
      <c r="A745" t="s">
        <v>11</v>
      </c>
      <c r="B745">
        <v>69</v>
      </c>
      <c r="C745" t="s">
        <v>22</v>
      </c>
      <c r="D745" t="s">
        <v>28</v>
      </c>
      <c r="E745" t="s">
        <v>62</v>
      </c>
      <c r="F745">
        <v>0</v>
      </c>
      <c r="G745">
        <v>0</v>
      </c>
      <c r="H745">
        <v>2</v>
      </c>
      <c r="I745">
        <v>0</v>
      </c>
      <c r="J745">
        <v>2</v>
      </c>
      <c r="K745">
        <v>1</v>
      </c>
    </row>
    <row r="746" spans="1:11" x14ac:dyDescent="0.2">
      <c r="A746" t="s">
        <v>11</v>
      </c>
      <c r="B746">
        <v>69</v>
      </c>
      <c r="C746" t="s">
        <v>17</v>
      </c>
      <c r="D746" t="s">
        <v>18</v>
      </c>
      <c r="E746" t="s">
        <v>119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1</v>
      </c>
    </row>
    <row r="747" spans="1:11" x14ac:dyDescent="0.2">
      <c r="A747" t="s">
        <v>11</v>
      </c>
      <c r="B747">
        <v>69</v>
      </c>
      <c r="C747" t="s">
        <v>17</v>
      </c>
      <c r="D747" t="s">
        <v>13</v>
      </c>
      <c r="E747" t="s">
        <v>40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0.1</v>
      </c>
    </row>
    <row r="748" spans="1:11" x14ac:dyDescent="0.2">
      <c r="A748" t="s">
        <v>11</v>
      </c>
      <c r="B748">
        <v>69</v>
      </c>
      <c r="C748" t="s">
        <v>17</v>
      </c>
      <c r="D748" t="s">
        <v>18</v>
      </c>
      <c r="E748" t="s">
        <v>19</v>
      </c>
      <c r="F748">
        <v>0</v>
      </c>
      <c r="G748">
        <v>0</v>
      </c>
      <c r="H748">
        <v>1</v>
      </c>
      <c r="I748">
        <v>0</v>
      </c>
      <c r="J748">
        <v>1</v>
      </c>
      <c r="K748">
        <v>0.5</v>
      </c>
    </row>
    <row r="749" spans="1:11" x14ac:dyDescent="0.2">
      <c r="A749" t="s">
        <v>11</v>
      </c>
      <c r="B749">
        <v>69</v>
      </c>
      <c r="C749" t="s">
        <v>17</v>
      </c>
      <c r="D749" t="s">
        <v>13</v>
      </c>
      <c r="E749" t="s">
        <v>24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0.5</v>
      </c>
    </row>
    <row r="750" spans="1:11" x14ac:dyDescent="0.2">
      <c r="A750" t="s">
        <v>11</v>
      </c>
      <c r="B750">
        <v>69</v>
      </c>
      <c r="C750" t="s">
        <v>17</v>
      </c>
      <c r="D750" t="s">
        <v>13</v>
      </c>
      <c r="E750" t="s">
        <v>41</v>
      </c>
      <c r="F750">
        <v>0</v>
      </c>
      <c r="G750">
        <v>0</v>
      </c>
      <c r="H750">
        <v>1</v>
      </c>
      <c r="I750">
        <v>3</v>
      </c>
      <c r="J750">
        <v>4</v>
      </c>
      <c r="K750">
        <v>0.8</v>
      </c>
    </row>
    <row r="751" spans="1:11" x14ac:dyDescent="0.2">
      <c r="A751" t="s">
        <v>11</v>
      </c>
      <c r="B751">
        <v>69</v>
      </c>
      <c r="C751" t="s">
        <v>17</v>
      </c>
      <c r="D751" t="s">
        <v>13</v>
      </c>
      <c r="E751" t="s">
        <v>69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0.5</v>
      </c>
    </row>
    <row r="752" spans="1:11" x14ac:dyDescent="0.2">
      <c r="A752" t="s">
        <v>11</v>
      </c>
      <c r="B752">
        <v>69</v>
      </c>
      <c r="C752" t="s">
        <v>17</v>
      </c>
      <c r="D752" t="s">
        <v>18</v>
      </c>
      <c r="E752" t="s">
        <v>69</v>
      </c>
      <c r="F752">
        <v>0</v>
      </c>
      <c r="G752">
        <v>0</v>
      </c>
      <c r="H752">
        <v>1</v>
      </c>
      <c r="I752">
        <v>0</v>
      </c>
      <c r="J752">
        <v>1</v>
      </c>
      <c r="K752">
        <v>0.5</v>
      </c>
    </row>
    <row r="753" spans="1:11" x14ac:dyDescent="0.2">
      <c r="A753" t="s">
        <v>11</v>
      </c>
      <c r="B753">
        <v>69</v>
      </c>
      <c r="C753" t="s">
        <v>42</v>
      </c>
      <c r="D753" t="s">
        <v>28</v>
      </c>
      <c r="E753" t="s">
        <v>43</v>
      </c>
      <c r="F753">
        <v>0</v>
      </c>
      <c r="G753">
        <v>0</v>
      </c>
      <c r="H753">
        <v>0</v>
      </c>
      <c r="I753">
        <v>1</v>
      </c>
      <c r="J753">
        <v>1</v>
      </c>
      <c r="K753">
        <v>0.1</v>
      </c>
    </row>
    <row r="754" spans="1:11" x14ac:dyDescent="0.2">
      <c r="A754" t="s">
        <v>11</v>
      </c>
      <c r="B754">
        <v>69</v>
      </c>
      <c r="C754" t="s">
        <v>42</v>
      </c>
      <c r="D754" t="s">
        <v>13</v>
      </c>
      <c r="E754" t="s">
        <v>120</v>
      </c>
      <c r="F754">
        <v>0</v>
      </c>
      <c r="G754">
        <v>0</v>
      </c>
      <c r="H754">
        <v>2</v>
      </c>
      <c r="I754">
        <v>0</v>
      </c>
      <c r="J754">
        <v>2</v>
      </c>
      <c r="K754">
        <v>1</v>
      </c>
    </row>
    <row r="755" spans="1:11" x14ac:dyDescent="0.2">
      <c r="A755" t="s">
        <v>11</v>
      </c>
      <c r="B755">
        <v>70</v>
      </c>
      <c r="C755" t="s">
        <v>20</v>
      </c>
      <c r="D755" t="s">
        <v>18</v>
      </c>
      <c r="E755" t="s">
        <v>21</v>
      </c>
      <c r="F755">
        <v>1</v>
      </c>
      <c r="G755">
        <v>0</v>
      </c>
      <c r="H755">
        <v>0</v>
      </c>
      <c r="I755">
        <v>0</v>
      </c>
      <c r="J755">
        <v>1</v>
      </c>
      <c r="K755">
        <v>1</v>
      </c>
    </row>
    <row r="756" spans="1:11" x14ac:dyDescent="0.2">
      <c r="A756" t="s">
        <v>11</v>
      </c>
      <c r="B756">
        <v>70</v>
      </c>
      <c r="C756" t="s">
        <v>20</v>
      </c>
      <c r="D756" t="s">
        <v>13</v>
      </c>
      <c r="E756" t="s">
        <v>81</v>
      </c>
      <c r="F756">
        <v>0</v>
      </c>
      <c r="G756">
        <v>0</v>
      </c>
      <c r="H756">
        <v>2</v>
      </c>
      <c r="I756">
        <v>1</v>
      </c>
      <c r="J756">
        <v>3</v>
      </c>
      <c r="K756">
        <v>1.1000000000000001</v>
      </c>
    </row>
    <row r="757" spans="1:11" x14ac:dyDescent="0.2">
      <c r="A757" t="s">
        <v>11</v>
      </c>
      <c r="B757">
        <v>70</v>
      </c>
      <c r="C757" t="s">
        <v>15</v>
      </c>
      <c r="D757" t="s">
        <v>13</v>
      </c>
      <c r="E757" t="s">
        <v>81</v>
      </c>
      <c r="F757">
        <v>0</v>
      </c>
      <c r="G757">
        <v>0</v>
      </c>
      <c r="H757">
        <v>2</v>
      </c>
      <c r="I757">
        <v>1</v>
      </c>
      <c r="J757">
        <v>3</v>
      </c>
      <c r="K757">
        <v>1.1000000000000001</v>
      </c>
    </row>
    <row r="758" spans="1:11" x14ac:dyDescent="0.2">
      <c r="A758" t="s">
        <v>11</v>
      </c>
      <c r="B758">
        <v>70</v>
      </c>
      <c r="C758" t="s">
        <v>15</v>
      </c>
      <c r="D758" t="s">
        <v>13</v>
      </c>
      <c r="E758" t="s">
        <v>16</v>
      </c>
      <c r="F758">
        <v>0</v>
      </c>
      <c r="G758">
        <v>0</v>
      </c>
      <c r="H758">
        <v>2</v>
      </c>
      <c r="I758">
        <v>1</v>
      </c>
      <c r="J758">
        <v>3</v>
      </c>
      <c r="K758">
        <v>1.1000000000000001</v>
      </c>
    </row>
    <row r="759" spans="1:11" x14ac:dyDescent="0.2">
      <c r="A759" t="s">
        <v>11</v>
      </c>
      <c r="B759">
        <v>70</v>
      </c>
      <c r="C759" t="s">
        <v>22</v>
      </c>
      <c r="D759" t="s">
        <v>13</v>
      </c>
      <c r="E759" t="s">
        <v>55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1</v>
      </c>
    </row>
    <row r="760" spans="1:11" x14ac:dyDescent="0.2">
      <c r="A760" t="s">
        <v>11</v>
      </c>
      <c r="B760">
        <v>70</v>
      </c>
      <c r="C760" t="s">
        <v>22</v>
      </c>
      <c r="D760" t="s">
        <v>13</v>
      </c>
      <c r="E760" t="s">
        <v>81</v>
      </c>
      <c r="F760">
        <v>0</v>
      </c>
      <c r="G760">
        <v>0</v>
      </c>
      <c r="H760">
        <v>2</v>
      </c>
      <c r="I760">
        <v>1</v>
      </c>
      <c r="J760">
        <v>3</v>
      </c>
      <c r="K760">
        <v>1.1000000000000001</v>
      </c>
    </row>
    <row r="761" spans="1:11" x14ac:dyDescent="0.2">
      <c r="A761" t="s">
        <v>11</v>
      </c>
      <c r="B761">
        <v>70</v>
      </c>
      <c r="C761" t="s">
        <v>22</v>
      </c>
      <c r="D761" t="s">
        <v>13</v>
      </c>
      <c r="E761" t="s">
        <v>23</v>
      </c>
      <c r="F761">
        <v>0</v>
      </c>
      <c r="G761">
        <v>0</v>
      </c>
      <c r="H761">
        <v>6</v>
      </c>
      <c r="I761">
        <v>5</v>
      </c>
      <c r="J761">
        <v>11</v>
      </c>
      <c r="K761">
        <v>3.5</v>
      </c>
    </row>
    <row r="762" spans="1:11" x14ac:dyDescent="0.2">
      <c r="A762" t="s">
        <v>11</v>
      </c>
      <c r="B762">
        <v>70</v>
      </c>
      <c r="C762" t="s">
        <v>17</v>
      </c>
      <c r="D762" t="s">
        <v>18</v>
      </c>
      <c r="E762" t="s">
        <v>19</v>
      </c>
      <c r="F762">
        <v>0</v>
      </c>
      <c r="G762">
        <v>0</v>
      </c>
      <c r="H762">
        <v>2</v>
      </c>
      <c r="I762">
        <v>1</v>
      </c>
      <c r="J762">
        <v>3</v>
      </c>
      <c r="K762">
        <v>1.1000000000000001</v>
      </c>
    </row>
    <row r="763" spans="1:11" x14ac:dyDescent="0.2">
      <c r="A763" t="s">
        <v>11</v>
      </c>
      <c r="B763">
        <v>70</v>
      </c>
      <c r="C763" t="s">
        <v>42</v>
      </c>
      <c r="D763" t="s">
        <v>13</v>
      </c>
      <c r="E763" t="s">
        <v>81</v>
      </c>
      <c r="F763">
        <v>0</v>
      </c>
      <c r="G763">
        <v>0</v>
      </c>
      <c r="H763">
        <v>2</v>
      </c>
      <c r="I763">
        <v>1</v>
      </c>
      <c r="J763">
        <v>3</v>
      </c>
      <c r="K763">
        <v>1.1000000000000001</v>
      </c>
    </row>
    <row r="764" spans="1:11" x14ac:dyDescent="0.2">
      <c r="A764" t="s">
        <v>11</v>
      </c>
      <c r="B764">
        <v>70</v>
      </c>
      <c r="C764" t="s">
        <v>42</v>
      </c>
      <c r="D764" t="s">
        <v>18</v>
      </c>
      <c r="E764" t="s">
        <v>121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0.5</v>
      </c>
    </row>
    <row r="765" spans="1:11" x14ac:dyDescent="0.2">
      <c r="A765" t="s">
        <v>11</v>
      </c>
      <c r="B765">
        <v>71</v>
      </c>
      <c r="C765" t="s">
        <v>20</v>
      </c>
      <c r="D765" t="s">
        <v>28</v>
      </c>
      <c r="E765" t="s">
        <v>29</v>
      </c>
      <c r="F765">
        <v>1</v>
      </c>
      <c r="G765">
        <v>0</v>
      </c>
      <c r="H765">
        <v>0</v>
      </c>
      <c r="I765">
        <v>0</v>
      </c>
      <c r="J765">
        <v>1</v>
      </c>
      <c r="K765">
        <v>1</v>
      </c>
    </row>
    <row r="766" spans="1:11" x14ac:dyDescent="0.2">
      <c r="A766" t="s">
        <v>11</v>
      </c>
      <c r="B766">
        <v>71</v>
      </c>
      <c r="C766" t="s">
        <v>20</v>
      </c>
      <c r="D766" t="s">
        <v>13</v>
      </c>
      <c r="E766" t="s">
        <v>37</v>
      </c>
      <c r="F766">
        <v>0</v>
      </c>
      <c r="G766">
        <v>1</v>
      </c>
      <c r="H766">
        <v>0</v>
      </c>
      <c r="I766">
        <v>2</v>
      </c>
      <c r="J766">
        <v>3</v>
      </c>
      <c r="K766">
        <v>0.95</v>
      </c>
    </row>
    <row r="767" spans="1:11" x14ac:dyDescent="0.2">
      <c r="A767" t="s">
        <v>11</v>
      </c>
      <c r="B767">
        <v>71</v>
      </c>
      <c r="C767" t="s">
        <v>22</v>
      </c>
      <c r="D767" t="s">
        <v>13</v>
      </c>
      <c r="E767" t="s">
        <v>54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1</v>
      </c>
    </row>
    <row r="768" spans="1:11" x14ac:dyDescent="0.2">
      <c r="A768" t="s">
        <v>11</v>
      </c>
      <c r="B768">
        <v>71</v>
      </c>
      <c r="C768" t="s">
        <v>17</v>
      </c>
      <c r="D768" t="s">
        <v>18</v>
      </c>
      <c r="E768" t="s">
        <v>82</v>
      </c>
      <c r="F768">
        <v>0</v>
      </c>
      <c r="G768">
        <v>1</v>
      </c>
      <c r="H768">
        <v>0</v>
      </c>
      <c r="I768">
        <v>0</v>
      </c>
      <c r="J768">
        <v>1</v>
      </c>
      <c r="K768">
        <v>0.75</v>
      </c>
    </row>
    <row r="769" spans="1:11" x14ac:dyDescent="0.2">
      <c r="A769" t="s">
        <v>11</v>
      </c>
      <c r="B769">
        <v>71</v>
      </c>
      <c r="C769" t="s">
        <v>17</v>
      </c>
      <c r="D769" t="s">
        <v>13</v>
      </c>
      <c r="E769" t="s">
        <v>40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0.1</v>
      </c>
    </row>
    <row r="770" spans="1:11" x14ac:dyDescent="0.2">
      <c r="A770" t="s">
        <v>11</v>
      </c>
      <c r="B770">
        <v>71</v>
      </c>
      <c r="C770" t="s">
        <v>17</v>
      </c>
      <c r="D770" t="s">
        <v>18</v>
      </c>
      <c r="E770" t="s">
        <v>93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0.5</v>
      </c>
    </row>
    <row r="771" spans="1:11" x14ac:dyDescent="0.2">
      <c r="A771" t="s">
        <v>11</v>
      </c>
      <c r="B771">
        <v>71</v>
      </c>
      <c r="C771" t="s">
        <v>17</v>
      </c>
      <c r="D771" t="s">
        <v>13</v>
      </c>
      <c r="E771" t="s">
        <v>41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0.1</v>
      </c>
    </row>
    <row r="772" spans="1:11" x14ac:dyDescent="0.2">
      <c r="A772" t="s">
        <v>11</v>
      </c>
      <c r="B772">
        <v>71</v>
      </c>
      <c r="C772" t="s">
        <v>42</v>
      </c>
      <c r="D772" t="s">
        <v>28</v>
      </c>
      <c r="E772" t="s">
        <v>43</v>
      </c>
      <c r="F772">
        <v>0</v>
      </c>
      <c r="G772">
        <v>1</v>
      </c>
      <c r="H772">
        <v>1</v>
      </c>
      <c r="I772">
        <v>1</v>
      </c>
      <c r="J772">
        <v>3</v>
      </c>
      <c r="K772">
        <v>1.45</v>
      </c>
    </row>
    <row r="773" spans="1:11" x14ac:dyDescent="0.2">
      <c r="A773" t="s">
        <v>11</v>
      </c>
      <c r="B773">
        <v>71</v>
      </c>
      <c r="C773" t="s">
        <v>42</v>
      </c>
      <c r="D773" t="s">
        <v>13</v>
      </c>
      <c r="E773" t="s">
        <v>70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0.75</v>
      </c>
    </row>
    <row r="774" spans="1:11" x14ac:dyDescent="0.2">
      <c r="A774" t="s">
        <v>11</v>
      </c>
      <c r="B774">
        <v>72</v>
      </c>
      <c r="C774" t="s">
        <v>20</v>
      </c>
      <c r="D774" t="s">
        <v>18</v>
      </c>
      <c r="E774" t="s">
        <v>71</v>
      </c>
      <c r="F774">
        <v>1</v>
      </c>
      <c r="G774">
        <v>0</v>
      </c>
      <c r="H774">
        <v>1</v>
      </c>
      <c r="I774">
        <v>0</v>
      </c>
      <c r="J774">
        <v>2</v>
      </c>
      <c r="K774">
        <v>1.6</v>
      </c>
    </row>
    <row r="775" spans="1:11" x14ac:dyDescent="0.2">
      <c r="A775" t="s">
        <v>11</v>
      </c>
      <c r="B775">
        <v>72</v>
      </c>
      <c r="C775" t="s">
        <v>15</v>
      </c>
      <c r="D775" t="s">
        <v>13</v>
      </c>
      <c r="E775" t="s">
        <v>39</v>
      </c>
      <c r="F775">
        <v>1</v>
      </c>
      <c r="G775">
        <v>0</v>
      </c>
      <c r="H775">
        <v>0</v>
      </c>
      <c r="I775">
        <v>0</v>
      </c>
      <c r="J775">
        <v>1</v>
      </c>
      <c r="K775">
        <v>1</v>
      </c>
    </row>
    <row r="776" spans="1:11" x14ac:dyDescent="0.2">
      <c r="A776" t="s">
        <v>11</v>
      </c>
      <c r="B776">
        <v>72</v>
      </c>
      <c r="C776" t="s">
        <v>42</v>
      </c>
      <c r="D776" t="s">
        <v>13</v>
      </c>
      <c r="E776" t="s">
        <v>71</v>
      </c>
      <c r="F776">
        <v>1</v>
      </c>
      <c r="G776">
        <v>0</v>
      </c>
      <c r="H776">
        <v>1</v>
      </c>
      <c r="I776">
        <v>0</v>
      </c>
      <c r="J776">
        <v>2</v>
      </c>
      <c r="K776">
        <v>1.6</v>
      </c>
    </row>
    <row r="777" spans="1:11" x14ac:dyDescent="0.2">
      <c r="A777" t="s">
        <v>11</v>
      </c>
      <c r="B777">
        <v>72</v>
      </c>
      <c r="C777" t="s">
        <v>42</v>
      </c>
      <c r="D777" t="s">
        <v>18</v>
      </c>
      <c r="E777" t="s">
        <v>71</v>
      </c>
      <c r="F777">
        <v>1</v>
      </c>
      <c r="G777">
        <v>0</v>
      </c>
      <c r="H777">
        <v>1</v>
      </c>
      <c r="I777">
        <v>0</v>
      </c>
      <c r="J777">
        <v>2</v>
      </c>
      <c r="K777">
        <v>1.6</v>
      </c>
    </row>
    <row r="778" spans="1:11" x14ac:dyDescent="0.2">
      <c r="A778" t="s">
        <v>11</v>
      </c>
      <c r="B778">
        <v>73</v>
      </c>
      <c r="C778" t="s">
        <v>20</v>
      </c>
      <c r="D778" t="s">
        <v>13</v>
      </c>
      <c r="E778" t="s">
        <v>27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0.5</v>
      </c>
    </row>
    <row r="779" spans="1:11" x14ac:dyDescent="0.2">
      <c r="A779" t="s">
        <v>11</v>
      </c>
      <c r="B779">
        <v>73</v>
      </c>
      <c r="C779" t="s">
        <v>20</v>
      </c>
      <c r="D779" t="s">
        <v>18</v>
      </c>
      <c r="E779" t="s">
        <v>27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0.5</v>
      </c>
    </row>
    <row r="780" spans="1:11" x14ac:dyDescent="0.2">
      <c r="A780" t="s">
        <v>11</v>
      </c>
      <c r="B780">
        <v>73</v>
      </c>
      <c r="C780" t="s">
        <v>20</v>
      </c>
      <c r="D780" t="s">
        <v>18</v>
      </c>
      <c r="E780" t="s">
        <v>30</v>
      </c>
      <c r="F780">
        <v>1</v>
      </c>
      <c r="G780">
        <v>0</v>
      </c>
      <c r="H780">
        <v>0</v>
      </c>
      <c r="I780">
        <v>0</v>
      </c>
      <c r="J780">
        <v>1</v>
      </c>
      <c r="K780">
        <v>1</v>
      </c>
    </row>
    <row r="781" spans="1:11" x14ac:dyDescent="0.2">
      <c r="A781" t="s">
        <v>11</v>
      </c>
      <c r="B781">
        <v>73</v>
      </c>
      <c r="C781" t="s">
        <v>20</v>
      </c>
      <c r="D781" t="s">
        <v>18</v>
      </c>
      <c r="E781" t="s">
        <v>57</v>
      </c>
      <c r="F781">
        <v>0</v>
      </c>
      <c r="G781">
        <v>4</v>
      </c>
      <c r="H781">
        <v>0</v>
      </c>
      <c r="I781">
        <v>0</v>
      </c>
      <c r="J781">
        <v>4</v>
      </c>
      <c r="K781">
        <v>3</v>
      </c>
    </row>
    <row r="782" spans="1:11" x14ac:dyDescent="0.2">
      <c r="A782" t="s">
        <v>11</v>
      </c>
      <c r="B782">
        <v>73</v>
      </c>
      <c r="C782" t="s">
        <v>20</v>
      </c>
      <c r="D782" t="s">
        <v>18</v>
      </c>
      <c r="E782" t="s">
        <v>35</v>
      </c>
      <c r="F782">
        <v>0</v>
      </c>
      <c r="G782">
        <v>1</v>
      </c>
      <c r="H782">
        <v>0</v>
      </c>
      <c r="I782">
        <v>1</v>
      </c>
      <c r="J782">
        <v>2</v>
      </c>
      <c r="K782">
        <v>0.85</v>
      </c>
    </row>
    <row r="783" spans="1:11" x14ac:dyDescent="0.2">
      <c r="A783" t="s">
        <v>11</v>
      </c>
      <c r="B783">
        <v>73</v>
      </c>
      <c r="C783" t="s">
        <v>12</v>
      </c>
      <c r="D783" t="s">
        <v>13</v>
      </c>
      <c r="E783" t="s">
        <v>24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0.5</v>
      </c>
    </row>
    <row r="784" spans="1:11" x14ac:dyDescent="0.2">
      <c r="A784" t="s">
        <v>11</v>
      </c>
      <c r="B784">
        <v>73</v>
      </c>
      <c r="C784" t="s">
        <v>15</v>
      </c>
      <c r="D784" t="s">
        <v>28</v>
      </c>
      <c r="E784" t="s">
        <v>57</v>
      </c>
      <c r="F784">
        <v>0</v>
      </c>
      <c r="G784">
        <v>4</v>
      </c>
      <c r="H784">
        <v>0</v>
      </c>
      <c r="I784">
        <v>0</v>
      </c>
      <c r="J784">
        <v>4</v>
      </c>
      <c r="K784">
        <v>3</v>
      </c>
    </row>
    <row r="785" spans="1:11" x14ac:dyDescent="0.2">
      <c r="A785" t="s">
        <v>11</v>
      </c>
      <c r="B785">
        <v>73</v>
      </c>
      <c r="C785" t="s">
        <v>15</v>
      </c>
      <c r="D785" t="s">
        <v>13</v>
      </c>
      <c r="E785" t="s">
        <v>16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0.1</v>
      </c>
    </row>
    <row r="786" spans="1:11" x14ac:dyDescent="0.2">
      <c r="A786" t="s">
        <v>11</v>
      </c>
      <c r="B786">
        <v>73</v>
      </c>
      <c r="C786" t="s">
        <v>22</v>
      </c>
      <c r="D786" t="s">
        <v>13</v>
      </c>
      <c r="E786" t="s">
        <v>122</v>
      </c>
      <c r="F786">
        <v>2</v>
      </c>
      <c r="G786">
        <v>0</v>
      </c>
      <c r="H786">
        <v>2</v>
      </c>
      <c r="I786">
        <v>0</v>
      </c>
      <c r="J786">
        <v>4</v>
      </c>
      <c r="K786">
        <v>3</v>
      </c>
    </row>
    <row r="787" spans="1:11" x14ac:dyDescent="0.2">
      <c r="A787" t="s">
        <v>11</v>
      </c>
      <c r="B787">
        <v>73</v>
      </c>
      <c r="C787" t="s">
        <v>22</v>
      </c>
      <c r="D787" t="s">
        <v>13</v>
      </c>
      <c r="E787" t="s">
        <v>68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0.5</v>
      </c>
    </row>
    <row r="788" spans="1:11" x14ac:dyDescent="0.2">
      <c r="A788" t="s">
        <v>11</v>
      </c>
      <c r="B788">
        <v>73</v>
      </c>
      <c r="C788" t="s">
        <v>17</v>
      </c>
      <c r="D788" t="s">
        <v>18</v>
      </c>
      <c r="E788" t="s">
        <v>19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0.1</v>
      </c>
    </row>
    <row r="789" spans="1:11" x14ac:dyDescent="0.2">
      <c r="A789" t="s">
        <v>11</v>
      </c>
      <c r="B789">
        <v>73</v>
      </c>
      <c r="C789" t="s">
        <v>17</v>
      </c>
      <c r="D789" t="s">
        <v>13</v>
      </c>
      <c r="E789" t="s">
        <v>24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0.5</v>
      </c>
    </row>
    <row r="790" spans="1:11" x14ac:dyDescent="0.2">
      <c r="A790" t="s">
        <v>11</v>
      </c>
      <c r="B790">
        <v>73</v>
      </c>
      <c r="C790" t="s">
        <v>17</v>
      </c>
      <c r="D790" t="s">
        <v>13</v>
      </c>
      <c r="E790" t="s">
        <v>41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0.1</v>
      </c>
    </row>
    <row r="791" spans="1:11" x14ac:dyDescent="0.2">
      <c r="A791" t="s">
        <v>11</v>
      </c>
      <c r="B791">
        <v>73</v>
      </c>
      <c r="C791" t="s">
        <v>42</v>
      </c>
      <c r="D791" t="s">
        <v>13</v>
      </c>
      <c r="E791" t="s">
        <v>50</v>
      </c>
      <c r="F791">
        <v>0</v>
      </c>
      <c r="G791">
        <v>0</v>
      </c>
      <c r="H791">
        <v>1</v>
      </c>
      <c r="I791">
        <v>0</v>
      </c>
      <c r="J791">
        <v>1</v>
      </c>
      <c r="K791">
        <v>0.5</v>
      </c>
    </row>
    <row r="792" spans="1:11" x14ac:dyDescent="0.2">
      <c r="A792" t="s">
        <v>11</v>
      </c>
      <c r="B792">
        <v>73</v>
      </c>
      <c r="C792" t="s">
        <v>42</v>
      </c>
      <c r="D792" t="s">
        <v>18</v>
      </c>
      <c r="E792" t="s">
        <v>108</v>
      </c>
      <c r="F792">
        <v>0</v>
      </c>
      <c r="G792">
        <v>0</v>
      </c>
      <c r="H792">
        <v>2</v>
      </c>
      <c r="I792">
        <v>0</v>
      </c>
      <c r="J792">
        <v>2</v>
      </c>
      <c r="K792">
        <v>1</v>
      </c>
    </row>
    <row r="793" spans="1:11" x14ac:dyDescent="0.2">
      <c r="A793" t="s">
        <v>11</v>
      </c>
      <c r="B793">
        <v>73</v>
      </c>
      <c r="C793" t="s">
        <v>42</v>
      </c>
      <c r="D793" t="s">
        <v>13</v>
      </c>
      <c r="E793" t="s">
        <v>35</v>
      </c>
      <c r="F793">
        <v>0</v>
      </c>
      <c r="G793">
        <v>1</v>
      </c>
      <c r="H793">
        <v>0</v>
      </c>
      <c r="I793">
        <v>1</v>
      </c>
      <c r="J793">
        <v>2</v>
      </c>
      <c r="K793">
        <v>0.85</v>
      </c>
    </row>
    <row r="794" spans="1:11" x14ac:dyDescent="0.2">
      <c r="A794" t="s">
        <v>11</v>
      </c>
      <c r="B794">
        <v>73</v>
      </c>
      <c r="C794" t="s">
        <v>42</v>
      </c>
      <c r="D794" t="s">
        <v>18</v>
      </c>
      <c r="E794" t="s">
        <v>44</v>
      </c>
      <c r="F794">
        <v>0</v>
      </c>
      <c r="G794">
        <v>1</v>
      </c>
      <c r="H794">
        <v>0</v>
      </c>
      <c r="I794">
        <v>1</v>
      </c>
      <c r="J794">
        <v>2</v>
      </c>
      <c r="K794">
        <v>0.85</v>
      </c>
    </row>
    <row r="795" spans="1:11" x14ac:dyDescent="0.2">
      <c r="A795" t="s">
        <v>11</v>
      </c>
      <c r="B795">
        <v>73</v>
      </c>
      <c r="C795" t="s">
        <v>45</v>
      </c>
      <c r="D795" t="s">
        <v>13</v>
      </c>
      <c r="E795" t="s">
        <v>27</v>
      </c>
      <c r="F795">
        <v>0</v>
      </c>
      <c r="G795">
        <v>0</v>
      </c>
      <c r="H795">
        <v>1</v>
      </c>
      <c r="I795">
        <v>0</v>
      </c>
      <c r="J795">
        <v>1</v>
      </c>
      <c r="K795">
        <v>0.5</v>
      </c>
    </row>
    <row r="796" spans="1:11" x14ac:dyDescent="0.2">
      <c r="A796" t="s">
        <v>11</v>
      </c>
      <c r="B796">
        <v>73</v>
      </c>
      <c r="C796" t="s">
        <v>45</v>
      </c>
      <c r="D796" t="s">
        <v>18</v>
      </c>
      <c r="E796" t="s">
        <v>78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0.75</v>
      </c>
    </row>
    <row r="797" spans="1:11" x14ac:dyDescent="0.2">
      <c r="A797" t="s">
        <v>11</v>
      </c>
      <c r="B797">
        <v>73</v>
      </c>
      <c r="C797" t="s">
        <v>45</v>
      </c>
      <c r="D797" t="s">
        <v>13</v>
      </c>
      <c r="E797" t="s">
        <v>79</v>
      </c>
      <c r="F797">
        <v>0</v>
      </c>
      <c r="G797">
        <v>0</v>
      </c>
      <c r="H797">
        <v>1</v>
      </c>
      <c r="I797">
        <v>0</v>
      </c>
      <c r="J797">
        <v>1</v>
      </c>
      <c r="K797">
        <v>0.5</v>
      </c>
    </row>
    <row r="798" spans="1:11" x14ac:dyDescent="0.2">
      <c r="A798" t="s">
        <v>11</v>
      </c>
      <c r="B798">
        <v>74</v>
      </c>
      <c r="C798" t="s">
        <v>20</v>
      </c>
      <c r="D798" t="s">
        <v>28</v>
      </c>
      <c r="E798" t="s">
        <v>29</v>
      </c>
      <c r="F798">
        <v>1</v>
      </c>
      <c r="G798">
        <v>1</v>
      </c>
      <c r="H798">
        <v>0</v>
      </c>
      <c r="I798">
        <v>0</v>
      </c>
      <c r="J798">
        <v>2</v>
      </c>
      <c r="K798">
        <v>1.75</v>
      </c>
    </row>
    <row r="799" spans="1:11" x14ac:dyDescent="0.2">
      <c r="A799" t="s">
        <v>11</v>
      </c>
      <c r="B799">
        <v>74</v>
      </c>
      <c r="C799" t="s">
        <v>20</v>
      </c>
      <c r="D799" t="s">
        <v>18</v>
      </c>
      <c r="E799" t="s">
        <v>71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0.75</v>
      </c>
    </row>
    <row r="800" spans="1:11" x14ac:dyDescent="0.2">
      <c r="A800" t="s">
        <v>11</v>
      </c>
      <c r="B800">
        <v>74</v>
      </c>
      <c r="C800" t="s">
        <v>20</v>
      </c>
      <c r="D800" t="s">
        <v>28</v>
      </c>
      <c r="E800" t="s">
        <v>61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0.5</v>
      </c>
    </row>
    <row r="801" spans="1:11" x14ac:dyDescent="0.2">
      <c r="A801" t="s">
        <v>11</v>
      </c>
      <c r="B801">
        <v>74</v>
      </c>
      <c r="C801" t="s">
        <v>20</v>
      </c>
      <c r="D801" t="s">
        <v>13</v>
      </c>
      <c r="E801" t="s">
        <v>37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0.1</v>
      </c>
    </row>
    <row r="802" spans="1:11" x14ac:dyDescent="0.2">
      <c r="A802" t="s">
        <v>11</v>
      </c>
      <c r="B802">
        <v>74</v>
      </c>
      <c r="C802" t="s">
        <v>22</v>
      </c>
      <c r="D802" t="s">
        <v>13</v>
      </c>
      <c r="E802" t="s">
        <v>122</v>
      </c>
      <c r="F802">
        <v>0</v>
      </c>
      <c r="G802">
        <v>0</v>
      </c>
      <c r="H802">
        <v>6</v>
      </c>
      <c r="I802">
        <v>0</v>
      </c>
      <c r="J802">
        <v>6</v>
      </c>
      <c r="K802">
        <v>3</v>
      </c>
    </row>
    <row r="803" spans="1:11" x14ac:dyDescent="0.2">
      <c r="A803" t="s">
        <v>11</v>
      </c>
      <c r="B803">
        <v>74</v>
      </c>
      <c r="C803" t="s">
        <v>22</v>
      </c>
      <c r="D803" t="s">
        <v>28</v>
      </c>
      <c r="E803" t="s">
        <v>62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0.5</v>
      </c>
    </row>
    <row r="804" spans="1:11" x14ac:dyDescent="0.2">
      <c r="A804" t="s">
        <v>11</v>
      </c>
      <c r="B804">
        <v>74</v>
      </c>
      <c r="C804" t="s">
        <v>42</v>
      </c>
      <c r="D804" t="s">
        <v>13</v>
      </c>
      <c r="E804" t="s">
        <v>71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0.75</v>
      </c>
    </row>
    <row r="805" spans="1:11" x14ac:dyDescent="0.2">
      <c r="A805" t="s">
        <v>11</v>
      </c>
      <c r="B805">
        <v>74</v>
      </c>
      <c r="C805" t="s">
        <v>42</v>
      </c>
      <c r="D805" t="s">
        <v>18</v>
      </c>
      <c r="E805" t="s">
        <v>71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0.75</v>
      </c>
    </row>
    <row r="806" spans="1:11" x14ac:dyDescent="0.2">
      <c r="A806" t="s">
        <v>11</v>
      </c>
      <c r="B806">
        <v>74</v>
      </c>
      <c r="C806" t="s">
        <v>42</v>
      </c>
      <c r="D806" t="s">
        <v>18</v>
      </c>
      <c r="E806" t="s">
        <v>108</v>
      </c>
      <c r="F806">
        <v>0</v>
      </c>
      <c r="G806">
        <v>0</v>
      </c>
      <c r="H806">
        <v>1</v>
      </c>
      <c r="I806">
        <v>1</v>
      </c>
      <c r="J806">
        <v>2</v>
      </c>
      <c r="K806">
        <v>0.6</v>
      </c>
    </row>
    <row r="807" spans="1:11" x14ac:dyDescent="0.2">
      <c r="A807" t="s">
        <v>11</v>
      </c>
      <c r="B807">
        <v>74</v>
      </c>
      <c r="C807" t="s">
        <v>42</v>
      </c>
      <c r="D807" t="s">
        <v>28</v>
      </c>
      <c r="E807" t="s">
        <v>43</v>
      </c>
      <c r="F807">
        <v>0</v>
      </c>
      <c r="G807">
        <v>0</v>
      </c>
      <c r="H807">
        <v>1</v>
      </c>
      <c r="I807">
        <v>0</v>
      </c>
      <c r="J807">
        <v>1</v>
      </c>
      <c r="K807">
        <v>0.6</v>
      </c>
    </row>
    <row r="808" spans="1:11" x14ac:dyDescent="0.2">
      <c r="A808" t="s">
        <v>11</v>
      </c>
      <c r="B808">
        <v>74</v>
      </c>
      <c r="C808" t="s">
        <v>42</v>
      </c>
      <c r="D808" t="s">
        <v>13</v>
      </c>
      <c r="E808" t="s">
        <v>52</v>
      </c>
      <c r="F808">
        <v>0</v>
      </c>
      <c r="G808">
        <v>0</v>
      </c>
      <c r="H808">
        <v>3</v>
      </c>
      <c r="I808">
        <v>0</v>
      </c>
      <c r="J808">
        <v>3</v>
      </c>
      <c r="K808">
        <v>1.5</v>
      </c>
    </row>
    <row r="809" spans="1:11" x14ac:dyDescent="0.2">
      <c r="A809" t="s">
        <v>11</v>
      </c>
      <c r="B809">
        <v>75</v>
      </c>
      <c r="C809" t="s">
        <v>20</v>
      </c>
      <c r="D809" t="s">
        <v>18</v>
      </c>
      <c r="E809" t="s">
        <v>57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0.1</v>
      </c>
    </row>
    <row r="810" spans="1:11" x14ac:dyDescent="0.2">
      <c r="A810" t="s">
        <v>11</v>
      </c>
      <c r="B810">
        <v>75</v>
      </c>
      <c r="C810" t="s">
        <v>20</v>
      </c>
      <c r="D810" t="s">
        <v>13</v>
      </c>
      <c r="E810" t="s">
        <v>37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0.1</v>
      </c>
    </row>
    <row r="811" spans="1:11" x14ac:dyDescent="0.2">
      <c r="A811" t="s">
        <v>11</v>
      </c>
      <c r="B811">
        <v>75</v>
      </c>
      <c r="C811" t="s">
        <v>12</v>
      </c>
      <c r="D811" t="s">
        <v>13</v>
      </c>
      <c r="E811" t="s">
        <v>65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0.5</v>
      </c>
    </row>
    <row r="812" spans="1:11" x14ac:dyDescent="0.2">
      <c r="A812" t="s">
        <v>11</v>
      </c>
      <c r="B812">
        <v>75</v>
      </c>
      <c r="C812" t="s">
        <v>12</v>
      </c>
      <c r="D812" t="s">
        <v>13</v>
      </c>
      <c r="E812" t="s">
        <v>101</v>
      </c>
      <c r="F812">
        <v>2</v>
      </c>
      <c r="G812">
        <v>0</v>
      </c>
      <c r="H812">
        <v>1</v>
      </c>
      <c r="I812">
        <v>0</v>
      </c>
      <c r="J812">
        <v>3</v>
      </c>
      <c r="K812">
        <v>2.5</v>
      </c>
    </row>
    <row r="813" spans="1:11" x14ac:dyDescent="0.2">
      <c r="A813" t="s">
        <v>11</v>
      </c>
      <c r="B813">
        <v>75</v>
      </c>
      <c r="C813" t="s">
        <v>15</v>
      </c>
      <c r="D813" t="s">
        <v>28</v>
      </c>
      <c r="E813" t="s">
        <v>57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0.1</v>
      </c>
    </row>
    <row r="814" spans="1:11" x14ac:dyDescent="0.2">
      <c r="A814" t="s">
        <v>11</v>
      </c>
      <c r="B814">
        <v>75</v>
      </c>
      <c r="C814" t="s">
        <v>15</v>
      </c>
      <c r="D814" t="s">
        <v>13</v>
      </c>
      <c r="E814" t="s">
        <v>38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0.5</v>
      </c>
    </row>
    <row r="815" spans="1:11" x14ac:dyDescent="0.2">
      <c r="A815" t="s">
        <v>11</v>
      </c>
      <c r="B815">
        <v>75</v>
      </c>
      <c r="C815" t="s">
        <v>22</v>
      </c>
      <c r="D815" t="s">
        <v>13</v>
      </c>
      <c r="E815" t="s">
        <v>54</v>
      </c>
      <c r="F815">
        <v>1</v>
      </c>
      <c r="G815">
        <v>0</v>
      </c>
      <c r="H815">
        <v>0</v>
      </c>
      <c r="I815">
        <v>2</v>
      </c>
      <c r="J815">
        <v>3</v>
      </c>
      <c r="K815">
        <v>1.2</v>
      </c>
    </row>
    <row r="816" spans="1:11" x14ac:dyDescent="0.2">
      <c r="A816" t="s">
        <v>11</v>
      </c>
      <c r="B816">
        <v>75</v>
      </c>
      <c r="C816" t="s">
        <v>22</v>
      </c>
      <c r="D816" t="s">
        <v>13</v>
      </c>
      <c r="E816" t="s">
        <v>25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0.75</v>
      </c>
    </row>
    <row r="817" spans="1:11" x14ac:dyDescent="0.2">
      <c r="A817" t="s">
        <v>11</v>
      </c>
      <c r="B817">
        <v>75</v>
      </c>
      <c r="C817" t="s">
        <v>22</v>
      </c>
      <c r="D817" t="s">
        <v>13</v>
      </c>
      <c r="E817" t="s">
        <v>65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0.5</v>
      </c>
    </row>
    <row r="818" spans="1:11" x14ac:dyDescent="0.2">
      <c r="A818" t="s">
        <v>11</v>
      </c>
      <c r="B818">
        <v>75</v>
      </c>
      <c r="C818" t="s">
        <v>22</v>
      </c>
      <c r="D818" t="s">
        <v>18</v>
      </c>
      <c r="E818" t="s">
        <v>38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0.5</v>
      </c>
    </row>
    <row r="819" spans="1:11" x14ac:dyDescent="0.2">
      <c r="A819" t="s">
        <v>11</v>
      </c>
      <c r="B819">
        <v>75</v>
      </c>
      <c r="C819" t="s">
        <v>17</v>
      </c>
      <c r="D819" t="s">
        <v>18</v>
      </c>
      <c r="E819" t="s">
        <v>82</v>
      </c>
      <c r="F819">
        <v>0</v>
      </c>
      <c r="G819">
        <v>1</v>
      </c>
      <c r="H819">
        <v>1</v>
      </c>
      <c r="I819">
        <v>0</v>
      </c>
      <c r="J819">
        <v>2</v>
      </c>
      <c r="K819">
        <v>1.25</v>
      </c>
    </row>
    <row r="820" spans="1:11" x14ac:dyDescent="0.2">
      <c r="A820" t="s">
        <v>11</v>
      </c>
      <c r="B820">
        <v>75</v>
      </c>
      <c r="C820" t="s">
        <v>17</v>
      </c>
      <c r="D820" t="s">
        <v>13</v>
      </c>
      <c r="E820" t="s">
        <v>40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0.1</v>
      </c>
    </row>
    <row r="821" spans="1:11" x14ac:dyDescent="0.2">
      <c r="A821" t="s">
        <v>11</v>
      </c>
      <c r="B821">
        <v>75</v>
      </c>
      <c r="C821" t="s">
        <v>42</v>
      </c>
      <c r="D821" t="s">
        <v>13</v>
      </c>
      <c r="E821" t="s">
        <v>50</v>
      </c>
      <c r="F821">
        <v>0</v>
      </c>
      <c r="G821">
        <v>0</v>
      </c>
      <c r="H821">
        <v>2</v>
      </c>
      <c r="I821">
        <v>0</v>
      </c>
      <c r="J821">
        <v>2</v>
      </c>
      <c r="K821">
        <v>1</v>
      </c>
    </row>
    <row r="822" spans="1:11" x14ac:dyDescent="0.2">
      <c r="A822" t="s">
        <v>11</v>
      </c>
      <c r="B822">
        <v>75</v>
      </c>
      <c r="C822" t="s">
        <v>42</v>
      </c>
      <c r="D822" t="s">
        <v>28</v>
      </c>
      <c r="E822" t="s">
        <v>43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0.6</v>
      </c>
    </row>
    <row r="823" spans="1:11" x14ac:dyDescent="0.2">
      <c r="A823" t="s">
        <v>11</v>
      </c>
      <c r="B823">
        <v>76</v>
      </c>
      <c r="C823" t="s">
        <v>20</v>
      </c>
      <c r="D823" t="s">
        <v>18</v>
      </c>
      <c r="E823" t="s">
        <v>35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0.5</v>
      </c>
    </row>
    <row r="824" spans="1:11" x14ac:dyDescent="0.2">
      <c r="A824" t="s">
        <v>11</v>
      </c>
      <c r="B824">
        <v>76</v>
      </c>
      <c r="C824" t="s">
        <v>12</v>
      </c>
      <c r="D824" t="s">
        <v>13</v>
      </c>
      <c r="E824" t="s">
        <v>65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0.5</v>
      </c>
    </row>
    <row r="825" spans="1:11" x14ac:dyDescent="0.2">
      <c r="A825" t="s">
        <v>11</v>
      </c>
      <c r="B825">
        <v>76</v>
      </c>
      <c r="C825" t="s">
        <v>15</v>
      </c>
      <c r="D825" t="s">
        <v>13</v>
      </c>
      <c r="E825" t="s">
        <v>111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0.75</v>
      </c>
    </row>
    <row r="826" spans="1:11" x14ac:dyDescent="0.2">
      <c r="A826" t="s">
        <v>11</v>
      </c>
      <c r="B826">
        <v>76</v>
      </c>
      <c r="C826" t="s">
        <v>15</v>
      </c>
      <c r="D826" t="s">
        <v>18</v>
      </c>
      <c r="E826" t="s">
        <v>111</v>
      </c>
      <c r="F826">
        <v>0</v>
      </c>
      <c r="G826">
        <v>1</v>
      </c>
      <c r="H826">
        <v>0</v>
      </c>
      <c r="I826">
        <v>0</v>
      </c>
      <c r="J826">
        <v>1</v>
      </c>
      <c r="K826">
        <v>0.75</v>
      </c>
    </row>
    <row r="827" spans="1:11" x14ac:dyDescent="0.2">
      <c r="A827" t="s">
        <v>11</v>
      </c>
      <c r="B827">
        <v>76</v>
      </c>
      <c r="C827" t="s">
        <v>15</v>
      </c>
      <c r="D827" t="s">
        <v>13</v>
      </c>
      <c r="E827" t="s">
        <v>16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0.5</v>
      </c>
    </row>
    <row r="828" spans="1:11" x14ac:dyDescent="0.2">
      <c r="A828" t="s">
        <v>11</v>
      </c>
      <c r="B828">
        <v>76</v>
      </c>
      <c r="C828" t="s">
        <v>22</v>
      </c>
      <c r="D828" t="s">
        <v>13</v>
      </c>
      <c r="E828" t="s">
        <v>65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0.5</v>
      </c>
    </row>
    <row r="829" spans="1:11" x14ac:dyDescent="0.2">
      <c r="A829" t="s">
        <v>11</v>
      </c>
      <c r="B829">
        <v>76</v>
      </c>
      <c r="C829" t="s">
        <v>22</v>
      </c>
      <c r="D829" t="s">
        <v>13</v>
      </c>
      <c r="E829" t="s">
        <v>55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</v>
      </c>
    </row>
    <row r="830" spans="1:11" x14ac:dyDescent="0.2">
      <c r="A830" t="s">
        <v>11</v>
      </c>
      <c r="B830">
        <v>76</v>
      </c>
      <c r="C830" t="s">
        <v>22</v>
      </c>
      <c r="D830" t="s">
        <v>18</v>
      </c>
      <c r="E830" t="s">
        <v>63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0.1</v>
      </c>
    </row>
    <row r="831" spans="1:11" x14ac:dyDescent="0.2">
      <c r="A831" t="s">
        <v>11</v>
      </c>
      <c r="B831">
        <v>76</v>
      </c>
      <c r="C831" t="s">
        <v>17</v>
      </c>
      <c r="D831" t="s">
        <v>13</v>
      </c>
      <c r="E831" t="s">
        <v>40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0.1</v>
      </c>
    </row>
    <row r="832" spans="1:11" x14ac:dyDescent="0.2">
      <c r="A832" t="s">
        <v>11</v>
      </c>
      <c r="B832">
        <v>76</v>
      </c>
      <c r="C832" t="s">
        <v>17</v>
      </c>
      <c r="D832" t="s">
        <v>18</v>
      </c>
      <c r="E832" t="s">
        <v>19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0.6</v>
      </c>
    </row>
    <row r="833" spans="1:11" x14ac:dyDescent="0.2">
      <c r="A833" t="s">
        <v>11</v>
      </c>
      <c r="B833">
        <v>76</v>
      </c>
      <c r="C833" t="s">
        <v>42</v>
      </c>
      <c r="D833" t="s">
        <v>13</v>
      </c>
      <c r="E833" t="s">
        <v>35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0.5</v>
      </c>
    </row>
    <row r="834" spans="1:11" x14ac:dyDescent="0.2">
      <c r="A834" t="s">
        <v>11</v>
      </c>
      <c r="B834">
        <v>76</v>
      </c>
      <c r="C834" t="s">
        <v>42</v>
      </c>
      <c r="D834" t="s">
        <v>18</v>
      </c>
      <c r="E834" t="s">
        <v>44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0.5</v>
      </c>
    </row>
    <row r="835" spans="1:11" x14ac:dyDescent="0.2">
      <c r="A835" t="s">
        <v>11</v>
      </c>
      <c r="B835">
        <v>76</v>
      </c>
      <c r="C835" t="s">
        <v>42</v>
      </c>
      <c r="D835" t="s">
        <v>13</v>
      </c>
      <c r="E835" t="s">
        <v>52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0.5</v>
      </c>
    </row>
    <row r="836" spans="1:11" x14ac:dyDescent="0.2">
      <c r="A836" t="s">
        <v>11</v>
      </c>
      <c r="B836">
        <v>76</v>
      </c>
      <c r="C836" t="s">
        <v>42</v>
      </c>
      <c r="D836" t="s">
        <v>13</v>
      </c>
      <c r="E836" t="s">
        <v>64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0.1</v>
      </c>
    </row>
    <row r="837" spans="1:11" x14ac:dyDescent="0.2">
      <c r="A837" t="s">
        <v>11</v>
      </c>
      <c r="B837">
        <v>76</v>
      </c>
      <c r="C837" t="s">
        <v>45</v>
      </c>
      <c r="D837" t="s">
        <v>13</v>
      </c>
      <c r="E837" t="s">
        <v>111</v>
      </c>
      <c r="F837">
        <v>0</v>
      </c>
      <c r="G837">
        <v>1</v>
      </c>
      <c r="H837">
        <v>0</v>
      </c>
      <c r="I837">
        <v>0</v>
      </c>
      <c r="J837">
        <v>1</v>
      </c>
      <c r="K837">
        <v>0.75</v>
      </c>
    </row>
    <row r="838" spans="1:11" x14ac:dyDescent="0.2">
      <c r="A838" t="s">
        <v>11</v>
      </c>
      <c r="B838">
        <v>76</v>
      </c>
      <c r="C838" t="s">
        <v>45</v>
      </c>
      <c r="D838" t="s">
        <v>18</v>
      </c>
      <c r="E838" t="s">
        <v>111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0.75</v>
      </c>
    </row>
    <row r="839" spans="1:11" x14ac:dyDescent="0.2">
      <c r="A839" t="s">
        <v>11</v>
      </c>
      <c r="B839">
        <v>77</v>
      </c>
      <c r="C839" t="s">
        <v>20</v>
      </c>
      <c r="D839" t="s">
        <v>28</v>
      </c>
      <c r="E839" t="s">
        <v>29</v>
      </c>
      <c r="F839">
        <v>0</v>
      </c>
      <c r="G839">
        <v>1</v>
      </c>
      <c r="H839">
        <v>0</v>
      </c>
      <c r="I839">
        <v>0</v>
      </c>
      <c r="J839">
        <v>1</v>
      </c>
      <c r="K839">
        <v>0.75</v>
      </c>
    </row>
    <row r="840" spans="1:11" x14ac:dyDescent="0.2">
      <c r="A840" t="s">
        <v>11</v>
      </c>
      <c r="B840">
        <v>77</v>
      </c>
      <c r="C840" t="s">
        <v>20</v>
      </c>
      <c r="D840" t="s">
        <v>18</v>
      </c>
      <c r="E840" t="s">
        <v>57</v>
      </c>
      <c r="F840">
        <v>0</v>
      </c>
      <c r="G840">
        <v>2</v>
      </c>
      <c r="H840">
        <v>2</v>
      </c>
      <c r="I840">
        <v>1</v>
      </c>
      <c r="J840">
        <v>5</v>
      </c>
      <c r="K840">
        <v>2.8</v>
      </c>
    </row>
    <row r="841" spans="1:11" x14ac:dyDescent="0.2">
      <c r="A841" t="s">
        <v>11</v>
      </c>
      <c r="B841">
        <v>77</v>
      </c>
      <c r="C841" t="s">
        <v>20</v>
      </c>
      <c r="D841" t="s">
        <v>13</v>
      </c>
      <c r="E841" t="s">
        <v>33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0.75</v>
      </c>
    </row>
    <row r="842" spans="1:11" x14ac:dyDescent="0.2">
      <c r="A842" t="s">
        <v>11</v>
      </c>
      <c r="B842">
        <v>77</v>
      </c>
      <c r="C842" t="s">
        <v>20</v>
      </c>
      <c r="D842" t="s">
        <v>13</v>
      </c>
      <c r="E842" t="s">
        <v>37</v>
      </c>
      <c r="F842">
        <v>2</v>
      </c>
      <c r="G842">
        <v>1</v>
      </c>
      <c r="H842">
        <v>0</v>
      </c>
      <c r="I842">
        <v>0</v>
      </c>
      <c r="J842">
        <v>3</v>
      </c>
      <c r="K842">
        <v>2.75</v>
      </c>
    </row>
    <row r="843" spans="1:11" x14ac:dyDescent="0.2">
      <c r="A843" t="s">
        <v>11</v>
      </c>
      <c r="B843">
        <v>77</v>
      </c>
      <c r="C843" t="s">
        <v>15</v>
      </c>
      <c r="D843" t="s">
        <v>28</v>
      </c>
      <c r="E843" t="s">
        <v>57</v>
      </c>
      <c r="F843">
        <v>0</v>
      </c>
      <c r="G843">
        <v>2</v>
      </c>
      <c r="H843">
        <v>2</v>
      </c>
      <c r="I843">
        <v>1</v>
      </c>
      <c r="J843">
        <v>5</v>
      </c>
      <c r="K843">
        <v>2.8</v>
      </c>
    </row>
    <row r="844" spans="1:11" x14ac:dyDescent="0.2">
      <c r="A844" t="s">
        <v>11</v>
      </c>
      <c r="B844">
        <v>77</v>
      </c>
      <c r="C844" t="s">
        <v>22</v>
      </c>
      <c r="D844" t="s">
        <v>13</v>
      </c>
      <c r="E844" t="s">
        <v>54</v>
      </c>
      <c r="F844">
        <v>0</v>
      </c>
      <c r="G844">
        <v>0</v>
      </c>
      <c r="H844">
        <v>2</v>
      </c>
      <c r="I844">
        <v>0</v>
      </c>
      <c r="J844">
        <v>2</v>
      </c>
      <c r="K844">
        <v>1</v>
      </c>
    </row>
    <row r="845" spans="1:11" x14ac:dyDescent="0.2">
      <c r="A845" t="s">
        <v>11</v>
      </c>
      <c r="B845">
        <v>77</v>
      </c>
      <c r="C845" t="s">
        <v>22</v>
      </c>
      <c r="D845" t="s">
        <v>13</v>
      </c>
      <c r="E845" t="s">
        <v>55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0.1</v>
      </c>
    </row>
    <row r="846" spans="1:11" x14ac:dyDescent="0.2">
      <c r="A846" t="s">
        <v>11</v>
      </c>
      <c r="B846">
        <v>77</v>
      </c>
      <c r="C846" t="s">
        <v>42</v>
      </c>
      <c r="D846" t="s">
        <v>13</v>
      </c>
      <c r="E846" t="s">
        <v>50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0.75</v>
      </c>
    </row>
    <row r="847" spans="1:11" x14ac:dyDescent="0.2">
      <c r="A847" t="s">
        <v>11</v>
      </c>
      <c r="B847">
        <v>77</v>
      </c>
      <c r="C847" t="s">
        <v>42</v>
      </c>
      <c r="D847" t="s">
        <v>28</v>
      </c>
      <c r="E847" t="s">
        <v>43</v>
      </c>
      <c r="F847">
        <v>0</v>
      </c>
      <c r="G847">
        <v>3</v>
      </c>
      <c r="H847">
        <v>0</v>
      </c>
      <c r="I847">
        <v>0</v>
      </c>
      <c r="J847">
        <v>3</v>
      </c>
      <c r="K847">
        <v>2.25</v>
      </c>
    </row>
    <row r="848" spans="1:11" x14ac:dyDescent="0.2">
      <c r="A848" t="s">
        <v>11</v>
      </c>
      <c r="B848">
        <v>77</v>
      </c>
      <c r="C848" t="s">
        <v>42</v>
      </c>
      <c r="D848" t="s">
        <v>28</v>
      </c>
      <c r="E848" t="s">
        <v>51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0.75</v>
      </c>
    </row>
    <row r="849" spans="1:11" x14ac:dyDescent="0.2">
      <c r="A849" t="s">
        <v>11</v>
      </c>
      <c r="B849">
        <v>78</v>
      </c>
      <c r="C849" t="s">
        <v>20</v>
      </c>
      <c r="D849" t="s">
        <v>18</v>
      </c>
      <c r="E849" t="s">
        <v>57</v>
      </c>
      <c r="F849">
        <v>0</v>
      </c>
      <c r="G849">
        <v>0</v>
      </c>
      <c r="H849">
        <v>3</v>
      </c>
      <c r="I849">
        <v>1</v>
      </c>
      <c r="J849">
        <v>4</v>
      </c>
      <c r="K849">
        <v>1.9</v>
      </c>
    </row>
    <row r="850" spans="1:11" x14ac:dyDescent="0.2">
      <c r="A850" t="s">
        <v>11</v>
      </c>
      <c r="B850">
        <v>78</v>
      </c>
      <c r="C850" t="s">
        <v>20</v>
      </c>
      <c r="D850" t="s">
        <v>13</v>
      </c>
      <c r="E850" t="s">
        <v>37</v>
      </c>
      <c r="F850">
        <v>1</v>
      </c>
      <c r="G850">
        <v>0</v>
      </c>
      <c r="H850">
        <v>0</v>
      </c>
      <c r="I850">
        <v>1</v>
      </c>
      <c r="J850">
        <v>2</v>
      </c>
      <c r="K850">
        <v>1.1000000000000001</v>
      </c>
    </row>
    <row r="851" spans="1:11" x14ac:dyDescent="0.2">
      <c r="A851" t="s">
        <v>11</v>
      </c>
      <c r="B851">
        <v>78</v>
      </c>
      <c r="C851" t="s">
        <v>15</v>
      </c>
      <c r="D851" t="s">
        <v>28</v>
      </c>
      <c r="E851" t="s">
        <v>57</v>
      </c>
      <c r="F851">
        <v>0</v>
      </c>
      <c r="G851">
        <v>0</v>
      </c>
      <c r="H851">
        <v>3</v>
      </c>
      <c r="I851">
        <v>1</v>
      </c>
      <c r="J851">
        <v>4</v>
      </c>
      <c r="K851">
        <v>1.9</v>
      </c>
    </row>
    <row r="852" spans="1:11" x14ac:dyDescent="0.2">
      <c r="A852" t="s">
        <v>11</v>
      </c>
      <c r="B852">
        <v>78</v>
      </c>
      <c r="C852" t="s">
        <v>42</v>
      </c>
      <c r="D852" t="s">
        <v>28</v>
      </c>
      <c r="E852" t="s">
        <v>43</v>
      </c>
      <c r="F852">
        <v>0</v>
      </c>
      <c r="G852">
        <v>1</v>
      </c>
      <c r="H852">
        <v>1</v>
      </c>
      <c r="I852">
        <v>0</v>
      </c>
      <c r="J852">
        <v>2</v>
      </c>
      <c r="K852">
        <v>1.35</v>
      </c>
    </row>
    <row r="853" spans="1:11" x14ac:dyDescent="0.2">
      <c r="A853" t="s">
        <v>11</v>
      </c>
      <c r="B853">
        <v>79</v>
      </c>
      <c r="C853" t="s">
        <v>20</v>
      </c>
      <c r="D853" t="s">
        <v>13</v>
      </c>
      <c r="E853" t="s">
        <v>33</v>
      </c>
      <c r="F853">
        <v>0</v>
      </c>
      <c r="G853">
        <v>3</v>
      </c>
      <c r="H853">
        <v>0</v>
      </c>
      <c r="I853">
        <v>0</v>
      </c>
      <c r="J853">
        <v>3</v>
      </c>
      <c r="K853">
        <v>2.25</v>
      </c>
    </row>
    <row r="854" spans="1:11" x14ac:dyDescent="0.2">
      <c r="A854" t="s">
        <v>11</v>
      </c>
      <c r="B854">
        <v>79</v>
      </c>
      <c r="C854" t="s">
        <v>20</v>
      </c>
      <c r="D854" t="s">
        <v>13</v>
      </c>
      <c r="E854" t="s">
        <v>36</v>
      </c>
      <c r="F854">
        <v>0</v>
      </c>
      <c r="G854">
        <v>0</v>
      </c>
      <c r="H854">
        <v>0</v>
      </c>
      <c r="I854">
        <v>2</v>
      </c>
      <c r="J854">
        <v>2</v>
      </c>
      <c r="K854">
        <v>0.2</v>
      </c>
    </row>
    <row r="855" spans="1:11" x14ac:dyDescent="0.2">
      <c r="A855" t="s">
        <v>11</v>
      </c>
      <c r="B855">
        <v>79</v>
      </c>
      <c r="C855" t="s">
        <v>15</v>
      </c>
      <c r="D855" t="s">
        <v>13</v>
      </c>
      <c r="E855" t="s">
        <v>39</v>
      </c>
      <c r="F855">
        <v>0</v>
      </c>
      <c r="G855">
        <v>0</v>
      </c>
      <c r="H855">
        <v>1</v>
      </c>
      <c r="I855">
        <v>0</v>
      </c>
      <c r="J855">
        <v>1</v>
      </c>
      <c r="K855">
        <v>0.5</v>
      </c>
    </row>
    <row r="856" spans="1:11" x14ac:dyDescent="0.2">
      <c r="A856" t="s">
        <v>11</v>
      </c>
      <c r="B856">
        <v>79</v>
      </c>
      <c r="C856" t="s">
        <v>22</v>
      </c>
      <c r="D856" t="s">
        <v>13</v>
      </c>
      <c r="E856" t="s">
        <v>54</v>
      </c>
      <c r="F856">
        <v>0</v>
      </c>
      <c r="G856">
        <v>0</v>
      </c>
      <c r="H856">
        <v>0</v>
      </c>
      <c r="I856">
        <v>4</v>
      </c>
      <c r="J856">
        <v>4</v>
      </c>
      <c r="K856">
        <v>0.4</v>
      </c>
    </row>
    <row r="857" spans="1:11" x14ac:dyDescent="0.2">
      <c r="A857" t="s">
        <v>11</v>
      </c>
      <c r="B857">
        <v>79</v>
      </c>
      <c r="C857" t="s">
        <v>17</v>
      </c>
      <c r="D857" t="s">
        <v>18</v>
      </c>
      <c r="E857" t="s">
        <v>82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0.5</v>
      </c>
    </row>
    <row r="858" spans="1:11" x14ac:dyDescent="0.2">
      <c r="A858" t="s">
        <v>11</v>
      </c>
      <c r="B858">
        <v>79</v>
      </c>
      <c r="C858" t="s">
        <v>17</v>
      </c>
      <c r="D858" t="s">
        <v>13</v>
      </c>
      <c r="E858" t="s">
        <v>41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0.1</v>
      </c>
    </row>
    <row r="859" spans="1:11" x14ac:dyDescent="0.2">
      <c r="A859" t="s">
        <v>11</v>
      </c>
      <c r="B859">
        <v>79</v>
      </c>
      <c r="C859" t="s">
        <v>42</v>
      </c>
      <c r="D859" t="s">
        <v>13</v>
      </c>
      <c r="E859" t="s">
        <v>120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0.5</v>
      </c>
    </row>
    <row r="860" spans="1:11" x14ac:dyDescent="0.2">
      <c r="A860" t="s">
        <v>11</v>
      </c>
      <c r="B860">
        <v>79</v>
      </c>
      <c r="C860" t="s">
        <v>45</v>
      </c>
      <c r="D860" t="s">
        <v>13</v>
      </c>
      <c r="E860" t="s">
        <v>79</v>
      </c>
      <c r="F860">
        <v>0</v>
      </c>
      <c r="G860">
        <v>0</v>
      </c>
      <c r="H860">
        <v>2</v>
      </c>
      <c r="I860">
        <v>0</v>
      </c>
      <c r="J860">
        <v>2</v>
      </c>
      <c r="K860">
        <v>1</v>
      </c>
    </row>
    <row r="861" spans="1:11" x14ac:dyDescent="0.2">
      <c r="A861" t="s">
        <v>11</v>
      </c>
      <c r="B861">
        <v>80</v>
      </c>
      <c r="C861" t="s">
        <v>20</v>
      </c>
      <c r="D861" t="s">
        <v>28</v>
      </c>
      <c r="E861" t="s">
        <v>29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</row>
    <row r="862" spans="1:11" x14ac:dyDescent="0.2">
      <c r="A862" t="s">
        <v>11</v>
      </c>
      <c r="B862">
        <v>80</v>
      </c>
      <c r="C862" t="s">
        <v>20</v>
      </c>
      <c r="D862" t="s">
        <v>18</v>
      </c>
      <c r="E862" t="s">
        <v>57</v>
      </c>
      <c r="F862">
        <v>0</v>
      </c>
      <c r="G862">
        <v>1</v>
      </c>
      <c r="H862">
        <v>0</v>
      </c>
      <c r="I862">
        <v>0</v>
      </c>
      <c r="J862">
        <v>1</v>
      </c>
      <c r="K862">
        <v>0.75</v>
      </c>
    </row>
    <row r="863" spans="1:11" x14ac:dyDescent="0.2">
      <c r="A863" t="s">
        <v>11</v>
      </c>
      <c r="B863">
        <v>80</v>
      </c>
      <c r="C863" t="s">
        <v>20</v>
      </c>
      <c r="D863" t="s">
        <v>13</v>
      </c>
      <c r="E863" t="s">
        <v>33</v>
      </c>
      <c r="F863">
        <v>0</v>
      </c>
      <c r="G863">
        <v>2</v>
      </c>
      <c r="H863">
        <v>0</v>
      </c>
      <c r="I863">
        <v>0</v>
      </c>
      <c r="J863">
        <v>2</v>
      </c>
      <c r="K863">
        <v>1.5</v>
      </c>
    </row>
    <row r="864" spans="1:11" x14ac:dyDescent="0.2">
      <c r="A864" t="s">
        <v>11</v>
      </c>
      <c r="B864">
        <v>80</v>
      </c>
      <c r="C864" t="s">
        <v>20</v>
      </c>
      <c r="D864" t="s">
        <v>18</v>
      </c>
      <c r="E864" t="s">
        <v>35</v>
      </c>
      <c r="F864">
        <v>0</v>
      </c>
      <c r="G864">
        <v>0</v>
      </c>
      <c r="H864">
        <v>2</v>
      </c>
      <c r="I864">
        <v>0</v>
      </c>
      <c r="J864">
        <v>2</v>
      </c>
      <c r="K864">
        <v>1</v>
      </c>
    </row>
    <row r="865" spans="1:11" x14ac:dyDescent="0.2">
      <c r="A865" t="s">
        <v>11</v>
      </c>
      <c r="B865">
        <v>80</v>
      </c>
      <c r="C865" t="s">
        <v>15</v>
      </c>
      <c r="D865" t="s">
        <v>28</v>
      </c>
      <c r="E865" t="s">
        <v>57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0.75</v>
      </c>
    </row>
    <row r="866" spans="1:11" x14ac:dyDescent="0.2">
      <c r="A866" t="s">
        <v>11</v>
      </c>
      <c r="B866">
        <v>80</v>
      </c>
      <c r="C866" t="s">
        <v>17</v>
      </c>
      <c r="D866" t="s">
        <v>13</v>
      </c>
      <c r="E866" t="s">
        <v>40</v>
      </c>
      <c r="F866">
        <v>0</v>
      </c>
      <c r="G866">
        <v>0</v>
      </c>
      <c r="H866">
        <v>0</v>
      </c>
      <c r="I866">
        <v>2</v>
      </c>
      <c r="J866">
        <v>2</v>
      </c>
      <c r="K866">
        <v>0.2</v>
      </c>
    </row>
    <row r="867" spans="1:11" x14ac:dyDescent="0.2">
      <c r="A867" t="s">
        <v>11</v>
      </c>
      <c r="B867">
        <v>80</v>
      </c>
      <c r="C867" t="s">
        <v>42</v>
      </c>
      <c r="D867" t="s">
        <v>18</v>
      </c>
      <c r="E867" t="s">
        <v>108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0.1</v>
      </c>
    </row>
    <row r="868" spans="1:11" x14ac:dyDescent="0.2">
      <c r="A868" t="s">
        <v>11</v>
      </c>
      <c r="B868">
        <v>80</v>
      </c>
      <c r="C868" t="s">
        <v>42</v>
      </c>
      <c r="D868" t="s">
        <v>13</v>
      </c>
      <c r="E868" t="s">
        <v>35</v>
      </c>
      <c r="F868">
        <v>0</v>
      </c>
      <c r="G868">
        <v>0</v>
      </c>
      <c r="H868">
        <v>2</v>
      </c>
      <c r="I868">
        <v>0</v>
      </c>
      <c r="J868">
        <v>2</v>
      </c>
      <c r="K868">
        <v>1</v>
      </c>
    </row>
    <row r="869" spans="1:11" x14ac:dyDescent="0.2">
      <c r="A869" t="s">
        <v>11</v>
      </c>
      <c r="B869">
        <v>80</v>
      </c>
      <c r="C869" t="s">
        <v>42</v>
      </c>
      <c r="D869" t="s">
        <v>18</v>
      </c>
      <c r="E869" t="s">
        <v>44</v>
      </c>
      <c r="F869">
        <v>0</v>
      </c>
      <c r="G869">
        <v>0</v>
      </c>
      <c r="H869">
        <v>2</v>
      </c>
      <c r="I869">
        <v>0</v>
      </c>
      <c r="J869">
        <v>2</v>
      </c>
      <c r="K869">
        <v>1.1000000000000001</v>
      </c>
    </row>
    <row r="870" spans="1:11" x14ac:dyDescent="0.2">
      <c r="A870" t="s">
        <v>11</v>
      </c>
      <c r="B870">
        <v>80</v>
      </c>
      <c r="C870" t="s">
        <v>42</v>
      </c>
      <c r="D870" t="s">
        <v>13</v>
      </c>
      <c r="E870" t="s">
        <v>56</v>
      </c>
      <c r="F870">
        <v>0</v>
      </c>
      <c r="G870">
        <v>0</v>
      </c>
      <c r="H870">
        <v>1</v>
      </c>
      <c r="I870">
        <v>1</v>
      </c>
      <c r="J870">
        <v>2</v>
      </c>
      <c r="K870">
        <v>0.6</v>
      </c>
    </row>
    <row r="871" spans="1:11" x14ac:dyDescent="0.2">
      <c r="A871" t="s">
        <v>11</v>
      </c>
      <c r="B871">
        <v>80</v>
      </c>
      <c r="C871" t="s">
        <v>42</v>
      </c>
      <c r="D871" t="s">
        <v>13</v>
      </c>
      <c r="E871" t="s">
        <v>120</v>
      </c>
      <c r="F871">
        <v>0</v>
      </c>
      <c r="G871">
        <v>0</v>
      </c>
      <c r="H871">
        <v>6</v>
      </c>
      <c r="I871">
        <v>1</v>
      </c>
      <c r="J871">
        <v>7</v>
      </c>
      <c r="K871">
        <v>3.1</v>
      </c>
    </row>
    <row r="872" spans="1:11" x14ac:dyDescent="0.2">
      <c r="A872" t="s">
        <v>11</v>
      </c>
      <c r="B872">
        <v>81</v>
      </c>
      <c r="C872" t="s">
        <v>20</v>
      </c>
      <c r="D872" t="s">
        <v>18</v>
      </c>
      <c r="E872" t="s">
        <v>21</v>
      </c>
      <c r="F872">
        <v>0</v>
      </c>
      <c r="G872">
        <v>0</v>
      </c>
      <c r="H872">
        <v>0</v>
      </c>
      <c r="I872">
        <v>2</v>
      </c>
      <c r="J872">
        <v>2</v>
      </c>
      <c r="K872">
        <v>0.2</v>
      </c>
    </row>
    <row r="873" spans="1:11" x14ac:dyDescent="0.2">
      <c r="A873" t="s">
        <v>11</v>
      </c>
      <c r="B873">
        <v>81</v>
      </c>
      <c r="C873" t="s">
        <v>20</v>
      </c>
      <c r="D873" t="s">
        <v>18</v>
      </c>
      <c r="E873" t="s">
        <v>57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0.75</v>
      </c>
    </row>
    <row r="874" spans="1:11" x14ac:dyDescent="0.2">
      <c r="A874" t="s">
        <v>11</v>
      </c>
      <c r="B874">
        <v>81</v>
      </c>
      <c r="C874" t="s">
        <v>20</v>
      </c>
      <c r="D874" t="s">
        <v>13</v>
      </c>
      <c r="E874" t="s">
        <v>33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0.75</v>
      </c>
    </row>
    <row r="875" spans="1:11" x14ac:dyDescent="0.2">
      <c r="A875" t="s">
        <v>11</v>
      </c>
      <c r="B875">
        <v>81</v>
      </c>
      <c r="C875" t="s">
        <v>20</v>
      </c>
      <c r="D875" t="s">
        <v>13</v>
      </c>
      <c r="E875" t="s">
        <v>37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0.1</v>
      </c>
    </row>
    <row r="876" spans="1:11" x14ac:dyDescent="0.2">
      <c r="A876" t="s">
        <v>11</v>
      </c>
      <c r="B876">
        <v>81</v>
      </c>
      <c r="C876" t="s">
        <v>15</v>
      </c>
      <c r="D876" t="s">
        <v>28</v>
      </c>
      <c r="E876" t="s">
        <v>57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0.75</v>
      </c>
    </row>
    <row r="877" spans="1:11" x14ac:dyDescent="0.2">
      <c r="A877" t="s">
        <v>11</v>
      </c>
      <c r="B877">
        <v>81</v>
      </c>
      <c r="C877" t="s">
        <v>17</v>
      </c>
      <c r="D877" t="s">
        <v>13</v>
      </c>
      <c r="E877" t="s">
        <v>104</v>
      </c>
      <c r="F877">
        <v>1</v>
      </c>
      <c r="G877">
        <v>0</v>
      </c>
      <c r="H877">
        <v>5</v>
      </c>
      <c r="I877">
        <v>0</v>
      </c>
      <c r="J877">
        <v>6</v>
      </c>
      <c r="K877">
        <v>3.5</v>
      </c>
    </row>
    <row r="878" spans="1:11" x14ac:dyDescent="0.2">
      <c r="A878" t="s">
        <v>11</v>
      </c>
      <c r="B878">
        <v>81</v>
      </c>
      <c r="C878" t="s">
        <v>17</v>
      </c>
      <c r="D878" t="s">
        <v>18</v>
      </c>
      <c r="E878" t="s">
        <v>104</v>
      </c>
      <c r="F878">
        <v>1</v>
      </c>
      <c r="G878">
        <v>0</v>
      </c>
      <c r="H878">
        <v>5</v>
      </c>
      <c r="I878">
        <v>0</v>
      </c>
      <c r="J878">
        <v>6</v>
      </c>
      <c r="K878">
        <v>3.5</v>
      </c>
    </row>
    <row r="879" spans="1:11" x14ac:dyDescent="0.2">
      <c r="A879" t="s">
        <v>11</v>
      </c>
      <c r="B879">
        <v>81</v>
      </c>
      <c r="C879" t="s">
        <v>17</v>
      </c>
      <c r="D879" t="s">
        <v>13</v>
      </c>
      <c r="E879" t="s">
        <v>40</v>
      </c>
      <c r="F879">
        <v>0</v>
      </c>
      <c r="G879">
        <v>0</v>
      </c>
      <c r="H879">
        <v>0</v>
      </c>
      <c r="I879">
        <v>1</v>
      </c>
      <c r="J879">
        <v>1</v>
      </c>
      <c r="K879">
        <v>0.1</v>
      </c>
    </row>
    <row r="880" spans="1:11" x14ac:dyDescent="0.2">
      <c r="A880" t="s">
        <v>11</v>
      </c>
      <c r="B880">
        <v>81</v>
      </c>
      <c r="C880" t="s">
        <v>17</v>
      </c>
      <c r="D880" t="s">
        <v>13</v>
      </c>
      <c r="E880" t="s">
        <v>123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0.75</v>
      </c>
    </row>
    <row r="881" spans="1:11" x14ac:dyDescent="0.2">
      <c r="A881" t="s">
        <v>11</v>
      </c>
      <c r="B881">
        <v>81</v>
      </c>
      <c r="C881" t="s">
        <v>17</v>
      </c>
      <c r="D881" t="s">
        <v>13</v>
      </c>
      <c r="E881" t="s">
        <v>41</v>
      </c>
      <c r="F881">
        <v>0</v>
      </c>
      <c r="G881">
        <v>0</v>
      </c>
      <c r="H881">
        <v>0</v>
      </c>
      <c r="I881">
        <v>1</v>
      </c>
      <c r="J881">
        <v>1</v>
      </c>
      <c r="K881">
        <v>0.1</v>
      </c>
    </row>
    <row r="882" spans="1:11" x14ac:dyDescent="0.2">
      <c r="A882" t="s">
        <v>11</v>
      </c>
      <c r="B882">
        <v>81</v>
      </c>
      <c r="C882" t="s">
        <v>17</v>
      </c>
      <c r="D882" t="s">
        <v>13</v>
      </c>
      <c r="E882" t="s">
        <v>26</v>
      </c>
      <c r="F882">
        <v>1</v>
      </c>
      <c r="G882">
        <v>0</v>
      </c>
      <c r="H882">
        <v>5</v>
      </c>
      <c r="I882">
        <v>1</v>
      </c>
      <c r="J882">
        <v>7</v>
      </c>
      <c r="K882">
        <v>3.6</v>
      </c>
    </row>
    <row r="883" spans="1:11" x14ac:dyDescent="0.2">
      <c r="A883" t="s">
        <v>11</v>
      </c>
      <c r="B883">
        <v>81</v>
      </c>
      <c r="C883" t="s">
        <v>17</v>
      </c>
      <c r="D883" t="s">
        <v>18</v>
      </c>
      <c r="E883" t="s">
        <v>26</v>
      </c>
      <c r="F883">
        <v>1</v>
      </c>
      <c r="G883">
        <v>0</v>
      </c>
      <c r="H883">
        <v>5</v>
      </c>
      <c r="I883">
        <v>1</v>
      </c>
      <c r="J883">
        <v>7</v>
      </c>
      <c r="K883">
        <v>3.6</v>
      </c>
    </row>
    <row r="884" spans="1:11" x14ac:dyDescent="0.2">
      <c r="A884" t="s">
        <v>11</v>
      </c>
      <c r="B884">
        <v>81</v>
      </c>
      <c r="C884" t="s">
        <v>17</v>
      </c>
      <c r="D884" t="s">
        <v>13</v>
      </c>
      <c r="E884" t="s">
        <v>69</v>
      </c>
      <c r="F884">
        <v>5</v>
      </c>
      <c r="G884">
        <v>0</v>
      </c>
      <c r="H884">
        <v>3</v>
      </c>
      <c r="I884">
        <v>1</v>
      </c>
      <c r="J884">
        <v>9</v>
      </c>
      <c r="K884">
        <v>6.6</v>
      </c>
    </row>
    <row r="885" spans="1:11" x14ac:dyDescent="0.2">
      <c r="A885" t="s">
        <v>11</v>
      </c>
      <c r="B885">
        <v>81</v>
      </c>
      <c r="C885" t="s">
        <v>17</v>
      </c>
      <c r="D885" t="s">
        <v>18</v>
      </c>
      <c r="E885" t="s">
        <v>69</v>
      </c>
      <c r="F885">
        <v>5</v>
      </c>
      <c r="G885">
        <v>0</v>
      </c>
      <c r="H885">
        <v>3</v>
      </c>
      <c r="I885">
        <v>1</v>
      </c>
      <c r="J885">
        <v>9</v>
      </c>
      <c r="K885">
        <v>6.6</v>
      </c>
    </row>
    <row r="886" spans="1:11" x14ac:dyDescent="0.2">
      <c r="A886" t="s">
        <v>11</v>
      </c>
      <c r="B886">
        <v>81</v>
      </c>
      <c r="C886" t="s">
        <v>42</v>
      </c>
      <c r="D886" t="s">
        <v>28</v>
      </c>
      <c r="E886" t="s">
        <v>43</v>
      </c>
      <c r="F886">
        <v>0</v>
      </c>
      <c r="G886">
        <v>0</v>
      </c>
      <c r="H886">
        <v>0</v>
      </c>
      <c r="I886">
        <v>1</v>
      </c>
      <c r="J886">
        <v>1</v>
      </c>
      <c r="K886">
        <v>0.1</v>
      </c>
    </row>
    <row r="887" spans="1:11" x14ac:dyDescent="0.2">
      <c r="A887" t="s">
        <v>11</v>
      </c>
      <c r="B887">
        <v>81</v>
      </c>
      <c r="C887" t="s">
        <v>42</v>
      </c>
      <c r="D887" t="s">
        <v>13</v>
      </c>
      <c r="E887" t="s">
        <v>56</v>
      </c>
      <c r="F887">
        <v>0</v>
      </c>
      <c r="G887">
        <v>0</v>
      </c>
      <c r="H887">
        <v>0</v>
      </c>
      <c r="I887">
        <v>1</v>
      </c>
      <c r="J887">
        <v>1</v>
      </c>
      <c r="K887">
        <v>0.1</v>
      </c>
    </row>
    <row r="888" spans="1:11" x14ac:dyDescent="0.2">
      <c r="A888" t="s">
        <v>11</v>
      </c>
      <c r="B888">
        <v>82</v>
      </c>
      <c r="C888" t="s">
        <v>20</v>
      </c>
      <c r="D888" t="s">
        <v>28</v>
      </c>
      <c r="E888" t="s">
        <v>29</v>
      </c>
      <c r="F888">
        <v>1</v>
      </c>
      <c r="G888">
        <v>1</v>
      </c>
      <c r="H888">
        <v>0</v>
      </c>
      <c r="I888">
        <v>0</v>
      </c>
      <c r="J888">
        <v>2</v>
      </c>
      <c r="K888">
        <v>1.75</v>
      </c>
    </row>
    <row r="889" spans="1:11" x14ac:dyDescent="0.2">
      <c r="A889" t="s">
        <v>11</v>
      </c>
      <c r="B889">
        <v>82</v>
      </c>
      <c r="C889" t="s">
        <v>20</v>
      </c>
      <c r="D889" t="s">
        <v>13</v>
      </c>
      <c r="E889" t="s">
        <v>33</v>
      </c>
      <c r="F889">
        <v>0</v>
      </c>
      <c r="G889">
        <v>4</v>
      </c>
      <c r="H889">
        <v>0</v>
      </c>
      <c r="I889">
        <v>0</v>
      </c>
      <c r="J889">
        <v>4</v>
      </c>
      <c r="K889">
        <v>3</v>
      </c>
    </row>
    <row r="890" spans="1:11" x14ac:dyDescent="0.2">
      <c r="A890" t="s">
        <v>11</v>
      </c>
      <c r="B890">
        <v>82</v>
      </c>
      <c r="C890" t="s">
        <v>20</v>
      </c>
      <c r="D890" t="s">
        <v>13</v>
      </c>
      <c r="E890" t="s">
        <v>37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0.1</v>
      </c>
    </row>
    <row r="891" spans="1:11" x14ac:dyDescent="0.2">
      <c r="A891" t="s">
        <v>11</v>
      </c>
      <c r="B891">
        <v>82</v>
      </c>
      <c r="C891" t="s">
        <v>12</v>
      </c>
      <c r="D891" t="s">
        <v>13</v>
      </c>
      <c r="E891" t="s">
        <v>65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0.1</v>
      </c>
    </row>
    <row r="892" spans="1:11" x14ac:dyDescent="0.2">
      <c r="A892" t="s">
        <v>11</v>
      </c>
      <c r="B892">
        <v>82</v>
      </c>
      <c r="C892" t="s">
        <v>12</v>
      </c>
      <c r="D892" t="s">
        <v>13</v>
      </c>
      <c r="E892" t="s">
        <v>124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0.5</v>
      </c>
    </row>
    <row r="893" spans="1:11" x14ac:dyDescent="0.2">
      <c r="A893" t="s">
        <v>11</v>
      </c>
      <c r="B893">
        <v>82</v>
      </c>
      <c r="C893" t="s">
        <v>12</v>
      </c>
      <c r="D893" t="s">
        <v>18</v>
      </c>
      <c r="E893" t="s">
        <v>125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1</v>
      </c>
    </row>
    <row r="894" spans="1:11" x14ac:dyDescent="0.2">
      <c r="A894" t="s">
        <v>11</v>
      </c>
      <c r="B894">
        <v>82</v>
      </c>
      <c r="C894" t="s">
        <v>15</v>
      </c>
      <c r="D894" t="s">
        <v>13</v>
      </c>
      <c r="E894" t="s">
        <v>38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0.5</v>
      </c>
    </row>
    <row r="895" spans="1:11" x14ac:dyDescent="0.2">
      <c r="A895" t="s">
        <v>11</v>
      </c>
      <c r="B895">
        <v>82</v>
      </c>
      <c r="C895" t="s">
        <v>22</v>
      </c>
      <c r="D895" t="s">
        <v>13</v>
      </c>
      <c r="E895" t="s">
        <v>25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0.5</v>
      </c>
    </row>
    <row r="896" spans="1:11" x14ac:dyDescent="0.2">
      <c r="A896" t="s">
        <v>11</v>
      </c>
      <c r="B896">
        <v>82</v>
      </c>
      <c r="C896" t="s">
        <v>22</v>
      </c>
      <c r="D896" t="s">
        <v>13</v>
      </c>
      <c r="E896" t="s">
        <v>65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0.1</v>
      </c>
    </row>
    <row r="897" spans="1:11" x14ac:dyDescent="0.2">
      <c r="A897" t="s">
        <v>11</v>
      </c>
      <c r="B897">
        <v>82</v>
      </c>
      <c r="C897" t="s">
        <v>22</v>
      </c>
      <c r="D897" t="s">
        <v>13</v>
      </c>
      <c r="E897" t="s">
        <v>55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1</v>
      </c>
    </row>
    <row r="898" spans="1:11" x14ac:dyDescent="0.2">
      <c r="A898" t="s">
        <v>11</v>
      </c>
      <c r="B898">
        <v>82</v>
      </c>
      <c r="C898" t="s">
        <v>22</v>
      </c>
      <c r="D898" t="s">
        <v>18</v>
      </c>
      <c r="E898" t="s">
        <v>38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0.5</v>
      </c>
    </row>
    <row r="899" spans="1:11" x14ac:dyDescent="0.2">
      <c r="A899" t="s">
        <v>11</v>
      </c>
      <c r="B899">
        <v>82</v>
      </c>
      <c r="C899" t="s">
        <v>22</v>
      </c>
      <c r="D899" t="s">
        <v>18</v>
      </c>
      <c r="E899" t="s">
        <v>63</v>
      </c>
      <c r="F899">
        <v>0</v>
      </c>
      <c r="G899">
        <v>2</v>
      </c>
      <c r="H899">
        <v>0</v>
      </c>
      <c r="I899">
        <v>0</v>
      </c>
      <c r="J899">
        <v>2</v>
      </c>
      <c r="K899">
        <v>1.5</v>
      </c>
    </row>
    <row r="900" spans="1:11" x14ac:dyDescent="0.2">
      <c r="A900" t="s">
        <v>11</v>
      </c>
      <c r="B900">
        <v>82</v>
      </c>
      <c r="C900" t="s">
        <v>17</v>
      </c>
      <c r="D900" t="s">
        <v>13</v>
      </c>
      <c r="E900" t="s">
        <v>104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1</v>
      </c>
    </row>
    <row r="901" spans="1:11" x14ac:dyDescent="0.2">
      <c r="A901" t="s">
        <v>11</v>
      </c>
      <c r="B901">
        <v>82</v>
      </c>
      <c r="C901" t="s">
        <v>17</v>
      </c>
      <c r="D901" t="s">
        <v>18</v>
      </c>
      <c r="E901" t="s">
        <v>104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1</v>
      </c>
    </row>
    <row r="902" spans="1:11" x14ac:dyDescent="0.2">
      <c r="A902" t="s">
        <v>11</v>
      </c>
      <c r="B902">
        <v>82</v>
      </c>
      <c r="C902" t="s">
        <v>17</v>
      </c>
      <c r="D902" t="s">
        <v>13</v>
      </c>
      <c r="E902" t="s">
        <v>26</v>
      </c>
      <c r="F902">
        <v>0</v>
      </c>
      <c r="G902">
        <v>1</v>
      </c>
      <c r="H902">
        <v>6</v>
      </c>
      <c r="I902">
        <v>0</v>
      </c>
      <c r="J902">
        <v>7</v>
      </c>
      <c r="K902">
        <v>3.75</v>
      </c>
    </row>
    <row r="903" spans="1:11" x14ac:dyDescent="0.2">
      <c r="A903" t="s">
        <v>11</v>
      </c>
      <c r="B903">
        <v>82</v>
      </c>
      <c r="C903" t="s">
        <v>17</v>
      </c>
      <c r="D903" t="s">
        <v>18</v>
      </c>
      <c r="E903" t="s">
        <v>26</v>
      </c>
      <c r="F903">
        <v>0</v>
      </c>
      <c r="G903">
        <v>1</v>
      </c>
      <c r="H903">
        <v>6</v>
      </c>
      <c r="I903">
        <v>0</v>
      </c>
      <c r="J903">
        <v>7</v>
      </c>
      <c r="K903">
        <v>3.75</v>
      </c>
    </row>
    <row r="904" spans="1:11" x14ac:dyDescent="0.2">
      <c r="A904" t="s">
        <v>11</v>
      </c>
      <c r="B904">
        <v>82</v>
      </c>
      <c r="C904" t="s">
        <v>42</v>
      </c>
      <c r="D904" t="s">
        <v>28</v>
      </c>
      <c r="E904" t="s">
        <v>43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0.1</v>
      </c>
    </row>
    <row r="905" spans="1:11" x14ac:dyDescent="0.2">
      <c r="A905" t="s">
        <v>11</v>
      </c>
      <c r="B905">
        <v>82</v>
      </c>
      <c r="C905" t="s">
        <v>42</v>
      </c>
      <c r="D905" t="s">
        <v>28</v>
      </c>
      <c r="E905" t="s">
        <v>51</v>
      </c>
      <c r="F905">
        <v>0</v>
      </c>
      <c r="G905">
        <v>1</v>
      </c>
      <c r="H905">
        <v>0</v>
      </c>
      <c r="I905">
        <v>0</v>
      </c>
      <c r="J905">
        <v>1</v>
      </c>
      <c r="K905">
        <v>0.75</v>
      </c>
    </row>
    <row r="906" spans="1:11" x14ac:dyDescent="0.2">
      <c r="A906" t="s">
        <v>11</v>
      </c>
      <c r="B906">
        <v>82</v>
      </c>
      <c r="C906" t="s">
        <v>42</v>
      </c>
      <c r="D906" t="s">
        <v>13</v>
      </c>
      <c r="E906" t="s">
        <v>52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0.1</v>
      </c>
    </row>
    <row r="907" spans="1:11" x14ac:dyDescent="0.2">
      <c r="A907" t="s">
        <v>11</v>
      </c>
      <c r="B907">
        <v>82</v>
      </c>
      <c r="C907" t="s">
        <v>42</v>
      </c>
      <c r="D907" t="s">
        <v>13</v>
      </c>
      <c r="E907" t="s">
        <v>56</v>
      </c>
      <c r="F907">
        <v>0</v>
      </c>
      <c r="G907">
        <v>0</v>
      </c>
      <c r="H907">
        <v>0</v>
      </c>
      <c r="I907">
        <v>5</v>
      </c>
      <c r="J907">
        <v>5</v>
      </c>
      <c r="K907">
        <v>0.5</v>
      </c>
    </row>
    <row r="908" spans="1:11" x14ac:dyDescent="0.2">
      <c r="A908" t="s">
        <v>11</v>
      </c>
      <c r="B908">
        <v>82</v>
      </c>
      <c r="C908" t="s">
        <v>42</v>
      </c>
      <c r="D908" t="s">
        <v>13</v>
      </c>
      <c r="E908" t="s">
        <v>126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</row>
    <row r="909" spans="1:11" x14ac:dyDescent="0.2">
      <c r="A909" t="s">
        <v>11</v>
      </c>
      <c r="B909">
        <v>82</v>
      </c>
      <c r="C909" t="s">
        <v>42</v>
      </c>
      <c r="D909" t="s">
        <v>13</v>
      </c>
      <c r="E909" t="s">
        <v>64</v>
      </c>
      <c r="F909">
        <v>2</v>
      </c>
      <c r="G909">
        <v>0</v>
      </c>
      <c r="H909">
        <v>0</v>
      </c>
      <c r="I909">
        <v>0</v>
      </c>
      <c r="J909">
        <v>2</v>
      </c>
      <c r="K909">
        <v>2</v>
      </c>
    </row>
    <row r="910" spans="1:11" x14ac:dyDescent="0.2">
      <c r="A910" t="s">
        <v>11</v>
      </c>
      <c r="B910">
        <v>82</v>
      </c>
      <c r="C910" t="s">
        <v>45</v>
      </c>
      <c r="D910" t="s">
        <v>18</v>
      </c>
      <c r="E910" t="s">
        <v>105</v>
      </c>
      <c r="F910">
        <v>2</v>
      </c>
      <c r="G910">
        <v>0</v>
      </c>
      <c r="H910">
        <v>0</v>
      </c>
      <c r="I910">
        <v>0</v>
      </c>
      <c r="J910">
        <v>2</v>
      </c>
      <c r="K910">
        <v>2</v>
      </c>
    </row>
    <row r="911" spans="1:11" x14ac:dyDescent="0.2">
      <c r="A911" t="s">
        <v>11</v>
      </c>
      <c r="B911">
        <v>82</v>
      </c>
      <c r="C911" t="s">
        <v>45</v>
      </c>
      <c r="D911" t="s">
        <v>18</v>
      </c>
      <c r="E911" t="s">
        <v>127</v>
      </c>
      <c r="F911">
        <v>0</v>
      </c>
      <c r="G911">
        <v>0</v>
      </c>
      <c r="H911">
        <v>1</v>
      </c>
      <c r="I911">
        <v>0</v>
      </c>
      <c r="J911">
        <v>1</v>
      </c>
      <c r="K911">
        <v>0.5</v>
      </c>
    </row>
    <row r="912" spans="1:11" x14ac:dyDescent="0.2">
      <c r="A912" t="s">
        <v>11</v>
      </c>
      <c r="B912">
        <v>82</v>
      </c>
      <c r="C912" t="s">
        <v>45</v>
      </c>
      <c r="D912" t="s">
        <v>13</v>
      </c>
      <c r="E912" t="s">
        <v>85</v>
      </c>
      <c r="F912">
        <v>0</v>
      </c>
      <c r="G912">
        <v>0</v>
      </c>
      <c r="H912">
        <v>3</v>
      </c>
      <c r="I912">
        <v>1</v>
      </c>
      <c r="J912">
        <v>4</v>
      </c>
      <c r="K912">
        <v>1.6</v>
      </c>
    </row>
    <row r="913" spans="1:11" x14ac:dyDescent="0.2">
      <c r="A913" t="s">
        <v>11</v>
      </c>
      <c r="B913">
        <v>82</v>
      </c>
      <c r="C913" t="s">
        <v>45</v>
      </c>
      <c r="D913" t="s">
        <v>18</v>
      </c>
      <c r="E913" t="s">
        <v>85</v>
      </c>
      <c r="F913">
        <v>0</v>
      </c>
      <c r="G913">
        <v>0</v>
      </c>
      <c r="H913">
        <v>3</v>
      </c>
      <c r="I913">
        <v>1</v>
      </c>
      <c r="J913">
        <v>4</v>
      </c>
      <c r="K913">
        <v>1.6</v>
      </c>
    </row>
    <row r="914" spans="1:11" x14ac:dyDescent="0.2">
      <c r="A914" t="s">
        <v>11</v>
      </c>
      <c r="B914">
        <v>82</v>
      </c>
      <c r="C914" t="s">
        <v>45</v>
      </c>
      <c r="D914" t="s">
        <v>18</v>
      </c>
      <c r="E914" t="s">
        <v>125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1</v>
      </c>
    </row>
    <row r="915" spans="1:11" x14ac:dyDescent="0.2">
      <c r="A915" t="s">
        <v>11</v>
      </c>
      <c r="B915">
        <v>83</v>
      </c>
      <c r="C915" t="s">
        <v>20</v>
      </c>
      <c r="D915" t="s">
        <v>13</v>
      </c>
      <c r="E915" t="s">
        <v>32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0.1</v>
      </c>
    </row>
    <row r="916" spans="1:11" x14ac:dyDescent="0.2">
      <c r="A916" t="s">
        <v>11</v>
      </c>
      <c r="B916">
        <v>83</v>
      </c>
      <c r="C916" t="s">
        <v>20</v>
      </c>
      <c r="D916" t="s">
        <v>13</v>
      </c>
      <c r="E916" t="s">
        <v>37</v>
      </c>
      <c r="F916">
        <v>0</v>
      </c>
      <c r="G916">
        <v>0</v>
      </c>
      <c r="H916">
        <v>1</v>
      </c>
      <c r="I916">
        <v>0</v>
      </c>
      <c r="J916">
        <v>1</v>
      </c>
      <c r="K916">
        <v>0.5</v>
      </c>
    </row>
    <row r="917" spans="1:11" x14ac:dyDescent="0.2">
      <c r="A917" t="s">
        <v>11</v>
      </c>
      <c r="B917">
        <v>83</v>
      </c>
      <c r="C917" t="s">
        <v>12</v>
      </c>
      <c r="D917" t="s">
        <v>13</v>
      </c>
      <c r="E917" t="s">
        <v>65</v>
      </c>
      <c r="F917">
        <v>0</v>
      </c>
      <c r="G917">
        <v>0</v>
      </c>
      <c r="H917">
        <v>2</v>
      </c>
      <c r="I917">
        <v>0</v>
      </c>
      <c r="J917">
        <v>2</v>
      </c>
      <c r="K917">
        <v>1</v>
      </c>
    </row>
    <row r="918" spans="1:11" x14ac:dyDescent="0.2">
      <c r="A918" t="s">
        <v>11</v>
      </c>
      <c r="B918">
        <v>83</v>
      </c>
      <c r="C918" t="s">
        <v>12</v>
      </c>
      <c r="D918" t="s">
        <v>13</v>
      </c>
      <c r="E918" t="s">
        <v>74</v>
      </c>
      <c r="F918">
        <v>1</v>
      </c>
      <c r="G918">
        <v>0</v>
      </c>
      <c r="H918">
        <v>1</v>
      </c>
      <c r="I918">
        <v>0</v>
      </c>
      <c r="J918">
        <v>2</v>
      </c>
      <c r="K918">
        <v>1.5</v>
      </c>
    </row>
    <row r="919" spans="1:11" x14ac:dyDescent="0.2">
      <c r="A919" t="s">
        <v>11</v>
      </c>
      <c r="B919">
        <v>83</v>
      </c>
      <c r="C919" t="s">
        <v>12</v>
      </c>
      <c r="D919" t="s">
        <v>13</v>
      </c>
      <c r="E919" t="s">
        <v>24</v>
      </c>
      <c r="F919">
        <v>1</v>
      </c>
      <c r="G919">
        <v>0</v>
      </c>
      <c r="H919">
        <v>5</v>
      </c>
      <c r="I919">
        <v>0</v>
      </c>
      <c r="J919">
        <v>6</v>
      </c>
      <c r="K919">
        <v>3.5</v>
      </c>
    </row>
    <row r="920" spans="1:11" x14ac:dyDescent="0.2">
      <c r="A920" t="s">
        <v>11</v>
      </c>
      <c r="B920">
        <v>83</v>
      </c>
      <c r="C920" t="s">
        <v>12</v>
      </c>
      <c r="D920" t="s">
        <v>13</v>
      </c>
      <c r="E920" t="s">
        <v>99</v>
      </c>
      <c r="F920">
        <v>0</v>
      </c>
      <c r="G920">
        <v>0</v>
      </c>
      <c r="H920">
        <v>2</v>
      </c>
      <c r="I920">
        <v>0</v>
      </c>
      <c r="J920">
        <v>2</v>
      </c>
      <c r="K920">
        <v>1</v>
      </c>
    </row>
    <row r="921" spans="1:11" x14ac:dyDescent="0.2">
      <c r="A921" t="s">
        <v>11</v>
      </c>
      <c r="B921">
        <v>83</v>
      </c>
      <c r="C921" t="s">
        <v>12</v>
      </c>
      <c r="D921" t="s">
        <v>13</v>
      </c>
      <c r="E921" t="s">
        <v>101</v>
      </c>
      <c r="F921">
        <v>0</v>
      </c>
      <c r="G921">
        <v>0</v>
      </c>
      <c r="H921">
        <v>0</v>
      </c>
      <c r="I921">
        <v>1</v>
      </c>
      <c r="J921">
        <v>1</v>
      </c>
      <c r="K921">
        <v>0.1</v>
      </c>
    </row>
    <row r="922" spans="1:11" x14ac:dyDescent="0.2">
      <c r="A922" t="s">
        <v>11</v>
      </c>
      <c r="B922">
        <v>83</v>
      </c>
      <c r="C922" t="s">
        <v>12</v>
      </c>
      <c r="D922" t="s">
        <v>18</v>
      </c>
      <c r="E922" t="s">
        <v>128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0.5</v>
      </c>
    </row>
    <row r="923" spans="1:11" x14ac:dyDescent="0.2">
      <c r="A923" t="s">
        <v>11</v>
      </c>
      <c r="B923">
        <v>83</v>
      </c>
      <c r="C923" t="s">
        <v>12</v>
      </c>
      <c r="D923" t="s">
        <v>28</v>
      </c>
      <c r="E923" t="s">
        <v>128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0.5</v>
      </c>
    </row>
    <row r="924" spans="1:11" x14ac:dyDescent="0.2">
      <c r="A924" t="s">
        <v>11</v>
      </c>
      <c r="B924">
        <v>83</v>
      </c>
      <c r="C924" t="s">
        <v>15</v>
      </c>
      <c r="D924" t="s">
        <v>13</v>
      </c>
      <c r="E924" t="s">
        <v>111</v>
      </c>
      <c r="F924">
        <v>0</v>
      </c>
      <c r="G924">
        <v>0</v>
      </c>
      <c r="H924">
        <v>1</v>
      </c>
      <c r="I924">
        <v>0</v>
      </c>
      <c r="J924">
        <v>1</v>
      </c>
      <c r="K924">
        <v>0.5</v>
      </c>
    </row>
    <row r="925" spans="1:11" x14ac:dyDescent="0.2">
      <c r="A925" t="s">
        <v>11</v>
      </c>
      <c r="B925">
        <v>83</v>
      </c>
      <c r="C925" t="s">
        <v>15</v>
      </c>
      <c r="D925" t="s">
        <v>18</v>
      </c>
      <c r="E925" t="s">
        <v>111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0.5</v>
      </c>
    </row>
    <row r="926" spans="1:11" x14ac:dyDescent="0.2">
      <c r="A926" t="s">
        <v>11</v>
      </c>
      <c r="B926">
        <v>83</v>
      </c>
      <c r="C926" t="s">
        <v>22</v>
      </c>
      <c r="D926" t="s">
        <v>13</v>
      </c>
      <c r="E926" t="s">
        <v>65</v>
      </c>
      <c r="F926">
        <v>0</v>
      </c>
      <c r="G926">
        <v>0</v>
      </c>
      <c r="H926">
        <v>2</v>
      </c>
      <c r="I926">
        <v>0</v>
      </c>
      <c r="J926">
        <v>2</v>
      </c>
      <c r="K926">
        <v>1</v>
      </c>
    </row>
    <row r="927" spans="1:11" x14ac:dyDescent="0.2">
      <c r="A927" t="s">
        <v>11</v>
      </c>
      <c r="B927">
        <v>83</v>
      </c>
      <c r="C927" t="s">
        <v>22</v>
      </c>
      <c r="D927" t="s">
        <v>13</v>
      </c>
      <c r="E927" t="s">
        <v>55</v>
      </c>
      <c r="F927">
        <v>1</v>
      </c>
      <c r="G927">
        <v>0</v>
      </c>
      <c r="H927">
        <v>0</v>
      </c>
      <c r="I927">
        <v>0</v>
      </c>
      <c r="J927">
        <v>1</v>
      </c>
      <c r="K927">
        <v>1</v>
      </c>
    </row>
    <row r="928" spans="1:11" x14ac:dyDescent="0.2">
      <c r="A928" t="s">
        <v>11</v>
      </c>
      <c r="B928">
        <v>83</v>
      </c>
      <c r="C928" t="s">
        <v>22</v>
      </c>
      <c r="D928" t="s">
        <v>18</v>
      </c>
      <c r="E928" t="s">
        <v>63</v>
      </c>
      <c r="F928">
        <v>1</v>
      </c>
      <c r="G928">
        <v>1</v>
      </c>
      <c r="H928">
        <v>1</v>
      </c>
      <c r="I928">
        <v>0</v>
      </c>
      <c r="J928">
        <v>3</v>
      </c>
      <c r="K928">
        <v>2.35</v>
      </c>
    </row>
    <row r="929" spans="1:11" x14ac:dyDescent="0.2">
      <c r="A929" t="s">
        <v>11</v>
      </c>
      <c r="B929">
        <v>83</v>
      </c>
      <c r="C929" t="s">
        <v>17</v>
      </c>
      <c r="D929" t="s">
        <v>13</v>
      </c>
      <c r="E929" t="s">
        <v>40</v>
      </c>
      <c r="F929">
        <v>0</v>
      </c>
      <c r="G929">
        <v>0</v>
      </c>
      <c r="H929">
        <v>0</v>
      </c>
      <c r="I929">
        <v>2</v>
      </c>
      <c r="J929">
        <v>2</v>
      </c>
      <c r="K929">
        <v>0.2</v>
      </c>
    </row>
    <row r="930" spans="1:11" x14ac:dyDescent="0.2">
      <c r="A930" t="s">
        <v>11</v>
      </c>
      <c r="B930">
        <v>83</v>
      </c>
      <c r="C930" t="s">
        <v>17</v>
      </c>
      <c r="D930" t="s">
        <v>13</v>
      </c>
      <c r="E930" t="s">
        <v>24</v>
      </c>
      <c r="F930">
        <v>1</v>
      </c>
      <c r="G930">
        <v>0</v>
      </c>
      <c r="H930">
        <v>5</v>
      </c>
      <c r="I930">
        <v>0</v>
      </c>
      <c r="J930">
        <v>6</v>
      </c>
      <c r="K930">
        <v>3.5</v>
      </c>
    </row>
    <row r="931" spans="1:11" x14ac:dyDescent="0.2">
      <c r="A931" t="s">
        <v>11</v>
      </c>
      <c r="B931">
        <v>83</v>
      </c>
      <c r="C931" t="s">
        <v>17</v>
      </c>
      <c r="D931" t="s">
        <v>13</v>
      </c>
      <c r="E931" t="s">
        <v>109</v>
      </c>
      <c r="F931">
        <v>0</v>
      </c>
      <c r="G931">
        <v>1</v>
      </c>
      <c r="H931">
        <v>1</v>
      </c>
      <c r="I931">
        <v>1</v>
      </c>
      <c r="J931">
        <v>3</v>
      </c>
      <c r="K931">
        <v>1.35</v>
      </c>
    </row>
    <row r="932" spans="1:11" x14ac:dyDescent="0.2">
      <c r="A932" t="s">
        <v>11</v>
      </c>
      <c r="B932">
        <v>83</v>
      </c>
      <c r="C932" t="s">
        <v>17</v>
      </c>
      <c r="D932" t="s">
        <v>13</v>
      </c>
      <c r="E932" t="s">
        <v>41</v>
      </c>
      <c r="F932">
        <v>0</v>
      </c>
      <c r="G932">
        <v>0</v>
      </c>
      <c r="H932">
        <v>0</v>
      </c>
      <c r="I932">
        <v>2</v>
      </c>
      <c r="J932">
        <v>2</v>
      </c>
      <c r="K932">
        <v>0.2</v>
      </c>
    </row>
    <row r="933" spans="1:11" x14ac:dyDescent="0.2">
      <c r="A933" t="s">
        <v>11</v>
      </c>
      <c r="B933">
        <v>83</v>
      </c>
      <c r="C933" t="s">
        <v>42</v>
      </c>
      <c r="D933" t="s">
        <v>28</v>
      </c>
      <c r="E933" t="s">
        <v>43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0.5</v>
      </c>
    </row>
    <row r="934" spans="1:11" x14ac:dyDescent="0.2">
      <c r="A934" t="s">
        <v>11</v>
      </c>
      <c r="B934">
        <v>83</v>
      </c>
      <c r="C934" t="s">
        <v>42</v>
      </c>
      <c r="D934" t="s">
        <v>13</v>
      </c>
      <c r="E934" t="s">
        <v>52</v>
      </c>
      <c r="F934">
        <v>0</v>
      </c>
      <c r="G934">
        <v>0</v>
      </c>
      <c r="H934">
        <v>1</v>
      </c>
      <c r="I934">
        <v>0</v>
      </c>
      <c r="J934">
        <v>1</v>
      </c>
      <c r="K934">
        <v>0.5</v>
      </c>
    </row>
    <row r="935" spans="1:11" x14ac:dyDescent="0.2">
      <c r="A935" t="s">
        <v>11</v>
      </c>
      <c r="B935">
        <v>83</v>
      </c>
      <c r="C935" t="s">
        <v>42</v>
      </c>
      <c r="D935" t="s">
        <v>13</v>
      </c>
      <c r="E935" t="s">
        <v>56</v>
      </c>
      <c r="F935">
        <v>0</v>
      </c>
      <c r="G935">
        <v>0</v>
      </c>
      <c r="H935">
        <v>1</v>
      </c>
      <c r="I935">
        <v>0</v>
      </c>
      <c r="J935">
        <v>1</v>
      </c>
      <c r="K935">
        <v>0.5</v>
      </c>
    </row>
    <row r="936" spans="1:11" x14ac:dyDescent="0.2">
      <c r="A936" t="s">
        <v>11</v>
      </c>
      <c r="B936">
        <v>83</v>
      </c>
      <c r="C936" t="s">
        <v>42</v>
      </c>
      <c r="D936" t="s">
        <v>13</v>
      </c>
      <c r="E936" t="s">
        <v>64</v>
      </c>
      <c r="F936">
        <v>1</v>
      </c>
      <c r="G936">
        <v>1</v>
      </c>
      <c r="H936">
        <v>1</v>
      </c>
      <c r="I936">
        <v>0</v>
      </c>
      <c r="J936">
        <v>3</v>
      </c>
      <c r="K936">
        <v>2.25</v>
      </c>
    </row>
    <row r="937" spans="1:11" x14ac:dyDescent="0.2">
      <c r="A937" t="s">
        <v>11</v>
      </c>
      <c r="B937">
        <v>83</v>
      </c>
      <c r="C937" t="s">
        <v>45</v>
      </c>
      <c r="D937" t="s">
        <v>13</v>
      </c>
      <c r="E937" t="s">
        <v>111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0.5</v>
      </c>
    </row>
    <row r="938" spans="1:11" x14ac:dyDescent="0.2">
      <c r="A938" t="s">
        <v>11</v>
      </c>
      <c r="B938">
        <v>83</v>
      </c>
      <c r="C938" t="s">
        <v>45</v>
      </c>
      <c r="D938" t="s">
        <v>18</v>
      </c>
      <c r="E938" t="s">
        <v>111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0.5</v>
      </c>
    </row>
    <row r="939" spans="1:11" x14ac:dyDescent="0.2">
      <c r="A939" t="s">
        <v>11</v>
      </c>
      <c r="B939">
        <v>83</v>
      </c>
      <c r="C939" t="s">
        <v>45</v>
      </c>
      <c r="D939" t="s">
        <v>28</v>
      </c>
      <c r="E939" t="s">
        <v>129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0.1</v>
      </c>
    </row>
    <row r="940" spans="1:11" x14ac:dyDescent="0.2">
      <c r="A940" t="s">
        <v>11</v>
      </c>
      <c r="B940">
        <v>84</v>
      </c>
      <c r="C940" t="s">
        <v>20</v>
      </c>
      <c r="D940" t="s">
        <v>18</v>
      </c>
      <c r="E940" t="s">
        <v>57</v>
      </c>
      <c r="F940">
        <v>0</v>
      </c>
      <c r="G940">
        <v>2</v>
      </c>
      <c r="H940">
        <v>0</v>
      </c>
      <c r="I940">
        <v>0</v>
      </c>
      <c r="J940">
        <v>2</v>
      </c>
      <c r="K940">
        <v>1.5</v>
      </c>
    </row>
    <row r="941" spans="1:11" x14ac:dyDescent="0.2">
      <c r="A941" t="s">
        <v>11</v>
      </c>
      <c r="B941">
        <v>84</v>
      </c>
      <c r="C941" t="s">
        <v>20</v>
      </c>
      <c r="D941" t="s">
        <v>13</v>
      </c>
      <c r="E941" t="s">
        <v>72</v>
      </c>
      <c r="F941">
        <v>2</v>
      </c>
      <c r="G941">
        <v>0</v>
      </c>
      <c r="H941">
        <v>0</v>
      </c>
      <c r="I941">
        <v>0</v>
      </c>
      <c r="J941">
        <v>2</v>
      </c>
      <c r="K941">
        <v>2</v>
      </c>
    </row>
    <row r="942" spans="1:11" x14ac:dyDescent="0.2">
      <c r="A942" t="s">
        <v>11</v>
      </c>
      <c r="B942">
        <v>84</v>
      </c>
      <c r="C942" t="s">
        <v>20</v>
      </c>
      <c r="D942" t="s">
        <v>13</v>
      </c>
      <c r="E942" t="s">
        <v>81</v>
      </c>
      <c r="F942">
        <v>0</v>
      </c>
      <c r="G942">
        <v>0</v>
      </c>
      <c r="H942">
        <v>0</v>
      </c>
      <c r="I942">
        <v>4</v>
      </c>
      <c r="J942">
        <v>4</v>
      </c>
      <c r="K942">
        <v>0.4</v>
      </c>
    </row>
    <row r="943" spans="1:11" x14ac:dyDescent="0.2">
      <c r="A943" t="s">
        <v>11</v>
      </c>
      <c r="B943">
        <v>84</v>
      </c>
      <c r="C943" t="s">
        <v>20</v>
      </c>
      <c r="D943" t="s">
        <v>13</v>
      </c>
      <c r="E943" t="s">
        <v>33</v>
      </c>
      <c r="F943">
        <v>2</v>
      </c>
      <c r="G943">
        <v>0</v>
      </c>
      <c r="H943">
        <v>0</v>
      </c>
      <c r="I943">
        <v>0</v>
      </c>
      <c r="J943">
        <v>2</v>
      </c>
      <c r="K943">
        <v>2</v>
      </c>
    </row>
    <row r="944" spans="1:11" x14ac:dyDescent="0.2">
      <c r="A944" t="s">
        <v>11</v>
      </c>
      <c r="B944">
        <v>84</v>
      </c>
      <c r="C944" t="s">
        <v>20</v>
      </c>
      <c r="D944" t="s">
        <v>13</v>
      </c>
      <c r="E944" t="s">
        <v>34</v>
      </c>
      <c r="F944">
        <v>1</v>
      </c>
      <c r="G944">
        <v>0</v>
      </c>
      <c r="H944">
        <v>0</v>
      </c>
      <c r="I944">
        <v>1</v>
      </c>
      <c r="J944">
        <v>2</v>
      </c>
      <c r="K944">
        <v>1.1000000000000001</v>
      </c>
    </row>
    <row r="945" spans="1:11" x14ac:dyDescent="0.2">
      <c r="A945" t="s">
        <v>11</v>
      </c>
      <c r="B945">
        <v>84</v>
      </c>
      <c r="C945" t="s">
        <v>20</v>
      </c>
      <c r="D945" t="s">
        <v>13</v>
      </c>
      <c r="E945" t="s">
        <v>89</v>
      </c>
      <c r="F945">
        <v>0</v>
      </c>
      <c r="G945">
        <v>0</v>
      </c>
      <c r="H945">
        <v>1</v>
      </c>
      <c r="I945">
        <v>0</v>
      </c>
      <c r="J945">
        <v>1</v>
      </c>
      <c r="K945">
        <v>0.5</v>
      </c>
    </row>
    <row r="946" spans="1:11" x14ac:dyDescent="0.2">
      <c r="A946" t="s">
        <v>11</v>
      </c>
      <c r="B946">
        <v>84</v>
      </c>
      <c r="C946" t="s">
        <v>20</v>
      </c>
      <c r="D946" t="s">
        <v>28</v>
      </c>
      <c r="E946" t="s">
        <v>61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0.5</v>
      </c>
    </row>
    <row r="947" spans="1:11" x14ac:dyDescent="0.2">
      <c r="A947" t="s">
        <v>11</v>
      </c>
      <c r="B947">
        <v>84</v>
      </c>
      <c r="C947" t="s">
        <v>20</v>
      </c>
      <c r="D947" t="s">
        <v>28</v>
      </c>
      <c r="E947" t="s">
        <v>113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0.75</v>
      </c>
    </row>
    <row r="948" spans="1:11" x14ac:dyDescent="0.2">
      <c r="A948" t="s">
        <v>11</v>
      </c>
      <c r="B948">
        <v>84</v>
      </c>
      <c r="C948" t="s">
        <v>20</v>
      </c>
      <c r="D948" t="s">
        <v>13</v>
      </c>
      <c r="E948" t="s">
        <v>37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0.1</v>
      </c>
    </row>
    <row r="949" spans="1:11" x14ac:dyDescent="0.2">
      <c r="A949" t="s">
        <v>11</v>
      </c>
      <c r="B949">
        <v>84</v>
      </c>
      <c r="C949" t="s">
        <v>12</v>
      </c>
      <c r="D949" t="s">
        <v>13</v>
      </c>
      <c r="E949" t="s">
        <v>118</v>
      </c>
      <c r="F949">
        <v>0</v>
      </c>
      <c r="G949">
        <v>0</v>
      </c>
      <c r="H949">
        <v>1</v>
      </c>
      <c r="I949">
        <v>0</v>
      </c>
      <c r="J949">
        <v>1</v>
      </c>
      <c r="K949">
        <v>0.5</v>
      </c>
    </row>
    <row r="950" spans="1:11" x14ac:dyDescent="0.2">
      <c r="A950" t="s">
        <v>11</v>
      </c>
      <c r="B950">
        <v>84</v>
      </c>
      <c r="C950" t="s">
        <v>12</v>
      </c>
      <c r="D950" t="s">
        <v>18</v>
      </c>
      <c r="E950" t="s">
        <v>118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0.5</v>
      </c>
    </row>
    <row r="951" spans="1:11" x14ac:dyDescent="0.2">
      <c r="A951" t="s">
        <v>11</v>
      </c>
      <c r="B951">
        <v>84</v>
      </c>
      <c r="C951" t="s">
        <v>12</v>
      </c>
      <c r="D951" t="s">
        <v>13</v>
      </c>
      <c r="E951" t="s">
        <v>74</v>
      </c>
      <c r="F951">
        <v>1</v>
      </c>
      <c r="G951">
        <v>0</v>
      </c>
      <c r="H951">
        <v>1</v>
      </c>
      <c r="I951">
        <v>2</v>
      </c>
      <c r="J951">
        <v>4</v>
      </c>
      <c r="K951">
        <v>1.7</v>
      </c>
    </row>
    <row r="952" spans="1:11" x14ac:dyDescent="0.2">
      <c r="A952" t="s">
        <v>11</v>
      </c>
      <c r="B952">
        <v>84</v>
      </c>
      <c r="C952" t="s">
        <v>12</v>
      </c>
      <c r="D952" t="s">
        <v>13</v>
      </c>
      <c r="E952" t="s">
        <v>24</v>
      </c>
      <c r="F952">
        <v>0</v>
      </c>
      <c r="G952">
        <v>1</v>
      </c>
      <c r="H952">
        <v>0</v>
      </c>
      <c r="I952">
        <v>0</v>
      </c>
      <c r="J952">
        <v>1</v>
      </c>
      <c r="K952">
        <v>0.75</v>
      </c>
    </row>
    <row r="953" spans="1:11" x14ac:dyDescent="0.2">
      <c r="A953" t="s">
        <v>11</v>
      </c>
      <c r="B953">
        <v>84</v>
      </c>
      <c r="C953" t="s">
        <v>12</v>
      </c>
      <c r="D953" t="s">
        <v>13</v>
      </c>
      <c r="E953" t="s">
        <v>130</v>
      </c>
      <c r="F953">
        <v>0</v>
      </c>
      <c r="G953">
        <v>0</v>
      </c>
      <c r="H953">
        <v>1</v>
      </c>
      <c r="I953">
        <v>0</v>
      </c>
      <c r="J953">
        <v>1</v>
      </c>
      <c r="K953">
        <v>0.5</v>
      </c>
    </row>
    <row r="954" spans="1:11" x14ac:dyDescent="0.2">
      <c r="A954" t="s">
        <v>11</v>
      </c>
      <c r="B954">
        <v>84</v>
      </c>
      <c r="C954" t="s">
        <v>12</v>
      </c>
      <c r="D954" t="s">
        <v>18</v>
      </c>
      <c r="E954" t="s">
        <v>128</v>
      </c>
      <c r="F954">
        <v>0</v>
      </c>
      <c r="G954">
        <v>0</v>
      </c>
      <c r="H954">
        <v>1</v>
      </c>
      <c r="I954">
        <v>0</v>
      </c>
      <c r="J954">
        <v>1</v>
      </c>
      <c r="K954">
        <v>0.5</v>
      </c>
    </row>
    <row r="955" spans="1:11" x14ac:dyDescent="0.2">
      <c r="A955" t="s">
        <v>11</v>
      </c>
      <c r="B955">
        <v>84</v>
      </c>
      <c r="C955" t="s">
        <v>12</v>
      </c>
      <c r="D955" t="s">
        <v>28</v>
      </c>
      <c r="E955" t="s">
        <v>128</v>
      </c>
      <c r="F955">
        <v>0</v>
      </c>
      <c r="G955">
        <v>0</v>
      </c>
      <c r="H955">
        <v>1</v>
      </c>
      <c r="I955">
        <v>0</v>
      </c>
      <c r="J955">
        <v>1</v>
      </c>
      <c r="K955">
        <v>0.5</v>
      </c>
    </row>
    <row r="956" spans="1:11" x14ac:dyDescent="0.2">
      <c r="A956" t="s">
        <v>11</v>
      </c>
      <c r="B956">
        <v>84</v>
      </c>
      <c r="C956" t="s">
        <v>15</v>
      </c>
      <c r="D956" t="s">
        <v>28</v>
      </c>
      <c r="E956" t="s">
        <v>57</v>
      </c>
      <c r="F956">
        <v>0</v>
      </c>
      <c r="G956">
        <v>2</v>
      </c>
      <c r="H956">
        <v>0</v>
      </c>
      <c r="I956">
        <v>0</v>
      </c>
      <c r="J956">
        <v>2</v>
      </c>
      <c r="K956">
        <v>1.5</v>
      </c>
    </row>
    <row r="957" spans="1:11" x14ac:dyDescent="0.2">
      <c r="A957" t="s">
        <v>11</v>
      </c>
      <c r="B957">
        <v>84</v>
      </c>
      <c r="C957" t="s">
        <v>15</v>
      </c>
      <c r="D957" t="s">
        <v>13</v>
      </c>
      <c r="E957" t="s">
        <v>81</v>
      </c>
      <c r="F957">
        <v>0</v>
      </c>
      <c r="G957">
        <v>0</v>
      </c>
      <c r="H957">
        <v>0</v>
      </c>
      <c r="I957">
        <v>4</v>
      </c>
      <c r="J957">
        <v>4</v>
      </c>
      <c r="K957">
        <v>0.4</v>
      </c>
    </row>
    <row r="958" spans="1:11" x14ac:dyDescent="0.2">
      <c r="A958" t="s">
        <v>11</v>
      </c>
      <c r="B958">
        <v>84</v>
      </c>
      <c r="C958" t="s">
        <v>15</v>
      </c>
      <c r="D958" t="s">
        <v>18</v>
      </c>
      <c r="E958" t="s">
        <v>113</v>
      </c>
      <c r="F958">
        <v>0</v>
      </c>
      <c r="G958">
        <v>1</v>
      </c>
      <c r="H958">
        <v>0</v>
      </c>
      <c r="I958">
        <v>0</v>
      </c>
      <c r="J958">
        <v>1</v>
      </c>
      <c r="K958">
        <v>0.75</v>
      </c>
    </row>
    <row r="959" spans="1:11" x14ac:dyDescent="0.2">
      <c r="A959" t="s">
        <v>11</v>
      </c>
      <c r="B959">
        <v>84</v>
      </c>
      <c r="C959" t="s">
        <v>22</v>
      </c>
      <c r="D959" t="s">
        <v>13</v>
      </c>
      <c r="E959" t="s">
        <v>25</v>
      </c>
      <c r="F959">
        <v>0</v>
      </c>
      <c r="G959">
        <v>1</v>
      </c>
      <c r="H959">
        <v>0</v>
      </c>
      <c r="I959">
        <v>0</v>
      </c>
      <c r="J959">
        <v>1</v>
      </c>
      <c r="K959">
        <v>0.75</v>
      </c>
    </row>
    <row r="960" spans="1:11" x14ac:dyDescent="0.2">
      <c r="A960" t="s">
        <v>11</v>
      </c>
      <c r="B960">
        <v>84</v>
      </c>
      <c r="C960" t="s">
        <v>22</v>
      </c>
      <c r="D960" t="s">
        <v>13</v>
      </c>
      <c r="E960" t="s">
        <v>81</v>
      </c>
      <c r="F960">
        <v>0</v>
      </c>
      <c r="G960">
        <v>0</v>
      </c>
      <c r="H960">
        <v>0</v>
      </c>
      <c r="I960">
        <v>4</v>
      </c>
      <c r="J960">
        <v>4</v>
      </c>
      <c r="K960">
        <v>0.4</v>
      </c>
    </row>
    <row r="961" spans="1:11" x14ac:dyDescent="0.2">
      <c r="A961" t="s">
        <v>11</v>
      </c>
      <c r="B961">
        <v>84</v>
      </c>
      <c r="C961" t="s">
        <v>22</v>
      </c>
      <c r="D961" t="s">
        <v>28</v>
      </c>
      <c r="E961" t="s">
        <v>62</v>
      </c>
      <c r="F961">
        <v>0</v>
      </c>
      <c r="G961">
        <v>0</v>
      </c>
      <c r="H961">
        <v>1</v>
      </c>
      <c r="I961">
        <v>0</v>
      </c>
      <c r="J961">
        <v>1</v>
      </c>
      <c r="K961">
        <v>0.5</v>
      </c>
    </row>
    <row r="962" spans="1:11" x14ac:dyDescent="0.2">
      <c r="A962" t="s">
        <v>11</v>
      </c>
      <c r="B962">
        <v>84</v>
      </c>
      <c r="C962" t="s">
        <v>22</v>
      </c>
      <c r="D962" t="s">
        <v>18</v>
      </c>
      <c r="E962" t="s">
        <v>63</v>
      </c>
      <c r="F962">
        <v>1</v>
      </c>
      <c r="G962">
        <v>1</v>
      </c>
      <c r="H962">
        <v>0</v>
      </c>
      <c r="I962">
        <v>0</v>
      </c>
      <c r="J962">
        <v>2</v>
      </c>
      <c r="K962">
        <v>1.75</v>
      </c>
    </row>
    <row r="963" spans="1:11" x14ac:dyDescent="0.2">
      <c r="A963" t="s">
        <v>11</v>
      </c>
      <c r="B963">
        <v>84</v>
      </c>
      <c r="C963" t="s">
        <v>17</v>
      </c>
      <c r="D963" t="s">
        <v>13</v>
      </c>
      <c r="E963" t="s">
        <v>40</v>
      </c>
      <c r="F963">
        <v>0</v>
      </c>
      <c r="G963">
        <v>0</v>
      </c>
      <c r="H963">
        <v>0</v>
      </c>
      <c r="I963">
        <v>2</v>
      </c>
      <c r="J963">
        <v>2</v>
      </c>
      <c r="K963">
        <v>0.2</v>
      </c>
    </row>
    <row r="964" spans="1:11" x14ac:dyDescent="0.2">
      <c r="A964" t="s">
        <v>11</v>
      </c>
      <c r="B964">
        <v>84</v>
      </c>
      <c r="C964" t="s">
        <v>17</v>
      </c>
      <c r="D964" t="s">
        <v>13</v>
      </c>
      <c r="E964" t="s">
        <v>24</v>
      </c>
      <c r="F964">
        <v>0</v>
      </c>
      <c r="G964">
        <v>1</v>
      </c>
      <c r="H964">
        <v>0</v>
      </c>
      <c r="I964">
        <v>0</v>
      </c>
      <c r="J964">
        <v>1</v>
      </c>
      <c r="K964">
        <v>0.75</v>
      </c>
    </row>
    <row r="965" spans="1:11" x14ac:dyDescent="0.2">
      <c r="A965" t="s">
        <v>11</v>
      </c>
      <c r="B965">
        <v>84</v>
      </c>
      <c r="C965" t="s">
        <v>17</v>
      </c>
      <c r="D965" t="s">
        <v>13</v>
      </c>
      <c r="E965" t="s">
        <v>109</v>
      </c>
      <c r="F965">
        <v>0</v>
      </c>
      <c r="G965">
        <v>0</v>
      </c>
      <c r="H965">
        <v>1</v>
      </c>
      <c r="I965">
        <v>2</v>
      </c>
      <c r="J965">
        <v>3</v>
      </c>
      <c r="K965">
        <v>0.7</v>
      </c>
    </row>
    <row r="966" spans="1:11" x14ac:dyDescent="0.2">
      <c r="A966" t="s">
        <v>11</v>
      </c>
      <c r="B966">
        <v>84</v>
      </c>
      <c r="C966" t="s">
        <v>17</v>
      </c>
      <c r="D966" t="s">
        <v>13</v>
      </c>
      <c r="E966" t="s">
        <v>41</v>
      </c>
      <c r="F966">
        <v>0</v>
      </c>
      <c r="G966">
        <v>1</v>
      </c>
      <c r="H966">
        <v>4</v>
      </c>
      <c r="I966">
        <v>0</v>
      </c>
      <c r="J966">
        <v>5</v>
      </c>
      <c r="K966">
        <v>2.75</v>
      </c>
    </row>
    <row r="967" spans="1:11" x14ac:dyDescent="0.2">
      <c r="A967" t="s">
        <v>11</v>
      </c>
      <c r="B967">
        <v>84</v>
      </c>
      <c r="C967" t="s">
        <v>42</v>
      </c>
      <c r="D967" t="s">
        <v>28</v>
      </c>
      <c r="E967" t="s">
        <v>43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0.6</v>
      </c>
    </row>
    <row r="968" spans="1:11" x14ac:dyDescent="0.2">
      <c r="A968" t="s">
        <v>11</v>
      </c>
      <c r="B968">
        <v>84</v>
      </c>
      <c r="C968" t="s">
        <v>42</v>
      </c>
      <c r="D968" t="s">
        <v>13</v>
      </c>
      <c r="E968" t="s">
        <v>81</v>
      </c>
      <c r="F968">
        <v>0</v>
      </c>
      <c r="G968">
        <v>0</v>
      </c>
      <c r="H968">
        <v>0</v>
      </c>
      <c r="I968">
        <v>4</v>
      </c>
      <c r="J968">
        <v>4</v>
      </c>
      <c r="K968">
        <v>0.4</v>
      </c>
    </row>
    <row r="969" spans="1:11" x14ac:dyDescent="0.2">
      <c r="A969" t="s">
        <v>11</v>
      </c>
      <c r="B969">
        <v>84</v>
      </c>
      <c r="C969" t="s">
        <v>42</v>
      </c>
      <c r="D969" t="s">
        <v>18</v>
      </c>
      <c r="E969" t="s">
        <v>113</v>
      </c>
      <c r="F969">
        <v>0</v>
      </c>
      <c r="G969">
        <v>1</v>
      </c>
      <c r="H969">
        <v>0</v>
      </c>
      <c r="I969">
        <v>0</v>
      </c>
      <c r="J969">
        <v>1</v>
      </c>
      <c r="K969">
        <v>0.75</v>
      </c>
    </row>
    <row r="970" spans="1:11" x14ac:dyDescent="0.2">
      <c r="A970" t="s">
        <v>11</v>
      </c>
      <c r="B970">
        <v>84</v>
      </c>
      <c r="C970" t="s">
        <v>42</v>
      </c>
      <c r="D970" t="s">
        <v>13</v>
      </c>
      <c r="E970" t="s">
        <v>64</v>
      </c>
      <c r="F970">
        <v>1</v>
      </c>
      <c r="G970">
        <v>1</v>
      </c>
      <c r="H970">
        <v>0</v>
      </c>
      <c r="I970">
        <v>0</v>
      </c>
      <c r="J970">
        <v>2</v>
      </c>
      <c r="K970">
        <v>1.75</v>
      </c>
    </row>
    <row r="971" spans="1:11" x14ac:dyDescent="0.2">
      <c r="A971" t="s">
        <v>11</v>
      </c>
      <c r="B971">
        <v>85</v>
      </c>
      <c r="C971" t="s">
        <v>20</v>
      </c>
      <c r="D971" t="s">
        <v>13</v>
      </c>
      <c r="E971" t="s">
        <v>27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0.1</v>
      </c>
    </row>
    <row r="972" spans="1:11" x14ac:dyDescent="0.2">
      <c r="A972" t="s">
        <v>11</v>
      </c>
      <c r="B972">
        <v>85</v>
      </c>
      <c r="C972" t="s">
        <v>20</v>
      </c>
      <c r="D972" t="s">
        <v>18</v>
      </c>
      <c r="E972" t="s">
        <v>27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0.1</v>
      </c>
    </row>
    <row r="973" spans="1:11" x14ac:dyDescent="0.2">
      <c r="A973" t="s">
        <v>11</v>
      </c>
      <c r="B973">
        <v>85</v>
      </c>
      <c r="C973" t="s">
        <v>20</v>
      </c>
      <c r="D973" t="s">
        <v>13</v>
      </c>
      <c r="E973" t="s">
        <v>33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0.75</v>
      </c>
    </row>
    <row r="974" spans="1:11" x14ac:dyDescent="0.2">
      <c r="A974" t="s">
        <v>11</v>
      </c>
      <c r="B974">
        <v>85</v>
      </c>
      <c r="C974" t="s">
        <v>20</v>
      </c>
      <c r="D974" t="s">
        <v>13</v>
      </c>
      <c r="E974" t="s">
        <v>34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0.1</v>
      </c>
    </row>
    <row r="975" spans="1:11" x14ac:dyDescent="0.2">
      <c r="A975" t="s">
        <v>11</v>
      </c>
      <c r="B975">
        <v>85</v>
      </c>
      <c r="C975" t="s">
        <v>20</v>
      </c>
      <c r="D975" t="s">
        <v>13</v>
      </c>
      <c r="E975" t="s">
        <v>37</v>
      </c>
      <c r="F975">
        <v>0</v>
      </c>
      <c r="G975">
        <v>0</v>
      </c>
      <c r="H975">
        <v>0</v>
      </c>
      <c r="I975">
        <v>1</v>
      </c>
      <c r="J975">
        <v>1</v>
      </c>
      <c r="K975">
        <v>0.1</v>
      </c>
    </row>
    <row r="976" spans="1:11" x14ac:dyDescent="0.2">
      <c r="A976" t="s">
        <v>11</v>
      </c>
      <c r="B976">
        <v>85</v>
      </c>
      <c r="C976" t="s">
        <v>12</v>
      </c>
      <c r="D976" t="s">
        <v>13</v>
      </c>
      <c r="E976" t="s">
        <v>65</v>
      </c>
      <c r="F976">
        <v>0</v>
      </c>
      <c r="G976">
        <v>0</v>
      </c>
      <c r="H976">
        <v>3</v>
      </c>
      <c r="I976">
        <v>0</v>
      </c>
      <c r="J976">
        <v>3</v>
      </c>
      <c r="K976">
        <v>1.5</v>
      </c>
    </row>
    <row r="977" spans="1:11" x14ac:dyDescent="0.2">
      <c r="A977" t="s">
        <v>11</v>
      </c>
      <c r="B977">
        <v>85</v>
      </c>
      <c r="C977" t="s">
        <v>12</v>
      </c>
      <c r="D977" t="s">
        <v>13</v>
      </c>
      <c r="E977" t="s">
        <v>24</v>
      </c>
      <c r="F977">
        <v>2</v>
      </c>
      <c r="G977">
        <v>0</v>
      </c>
      <c r="H977">
        <v>0</v>
      </c>
      <c r="I977">
        <v>0</v>
      </c>
      <c r="J977">
        <v>2</v>
      </c>
      <c r="K977">
        <v>2</v>
      </c>
    </row>
    <row r="978" spans="1:11" x14ac:dyDescent="0.2">
      <c r="A978" t="s">
        <v>11</v>
      </c>
      <c r="B978">
        <v>85</v>
      </c>
      <c r="C978" t="s">
        <v>12</v>
      </c>
      <c r="D978" t="s">
        <v>13</v>
      </c>
      <c r="E978" t="s">
        <v>98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</v>
      </c>
    </row>
    <row r="979" spans="1:11" x14ac:dyDescent="0.2">
      <c r="A979" t="s">
        <v>11</v>
      </c>
      <c r="B979">
        <v>85</v>
      </c>
      <c r="C979" t="s">
        <v>15</v>
      </c>
      <c r="D979" t="s">
        <v>13</v>
      </c>
      <c r="E979" t="s">
        <v>111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0.1</v>
      </c>
    </row>
    <row r="980" spans="1:11" x14ac:dyDescent="0.2">
      <c r="A980" t="s">
        <v>11</v>
      </c>
      <c r="B980">
        <v>85</v>
      </c>
      <c r="C980" t="s">
        <v>15</v>
      </c>
      <c r="D980" t="s">
        <v>18</v>
      </c>
      <c r="E980" t="s">
        <v>111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0.1</v>
      </c>
    </row>
    <row r="981" spans="1:11" x14ac:dyDescent="0.2">
      <c r="A981" t="s">
        <v>11</v>
      </c>
      <c r="B981">
        <v>85</v>
      </c>
      <c r="C981" t="s">
        <v>15</v>
      </c>
      <c r="D981" t="s">
        <v>13</v>
      </c>
      <c r="E981" t="s">
        <v>67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0.5</v>
      </c>
    </row>
    <row r="982" spans="1:11" x14ac:dyDescent="0.2">
      <c r="A982" t="s">
        <v>11</v>
      </c>
      <c r="B982">
        <v>85</v>
      </c>
      <c r="C982" t="s">
        <v>22</v>
      </c>
      <c r="D982" t="s">
        <v>13</v>
      </c>
      <c r="E982" t="s">
        <v>54</v>
      </c>
      <c r="F982">
        <v>0</v>
      </c>
      <c r="G982">
        <v>1</v>
      </c>
      <c r="H982">
        <v>0</v>
      </c>
      <c r="I982">
        <v>3</v>
      </c>
      <c r="J982">
        <v>4</v>
      </c>
      <c r="K982">
        <v>1.05</v>
      </c>
    </row>
    <row r="983" spans="1:11" x14ac:dyDescent="0.2">
      <c r="A983" t="s">
        <v>11</v>
      </c>
      <c r="B983">
        <v>85</v>
      </c>
      <c r="C983" t="s">
        <v>22</v>
      </c>
      <c r="D983" t="s">
        <v>13</v>
      </c>
      <c r="E983" t="s">
        <v>65</v>
      </c>
      <c r="F983">
        <v>0</v>
      </c>
      <c r="G983">
        <v>0</v>
      </c>
      <c r="H983">
        <v>3</v>
      </c>
      <c r="I983">
        <v>0</v>
      </c>
      <c r="J983">
        <v>3</v>
      </c>
      <c r="K983">
        <v>1.5</v>
      </c>
    </row>
    <row r="984" spans="1:11" x14ac:dyDescent="0.2">
      <c r="A984" t="s">
        <v>11</v>
      </c>
      <c r="B984">
        <v>85</v>
      </c>
      <c r="C984" t="s">
        <v>17</v>
      </c>
      <c r="D984" t="s">
        <v>18</v>
      </c>
      <c r="E984" t="s">
        <v>82</v>
      </c>
      <c r="F984">
        <v>1</v>
      </c>
      <c r="G984">
        <v>0</v>
      </c>
      <c r="H984">
        <v>1</v>
      </c>
      <c r="I984">
        <v>1</v>
      </c>
      <c r="J984">
        <v>3</v>
      </c>
      <c r="K984">
        <v>1.6</v>
      </c>
    </row>
    <row r="985" spans="1:11" x14ac:dyDescent="0.2">
      <c r="A985" t="s">
        <v>11</v>
      </c>
      <c r="B985">
        <v>85</v>
      </c>
      <c r="C985" t="s">
        <v>17</v>
      </c>
      <c r="D985" t="s">
        <v>13</v>
      </c>
      <c r="E985" t="s">
        <v>24</v>
      </c>
      <c r="F985">
        <v>2</v>
      </c>
      <c r="G985">
        <v>0</v>
      </c>
      <c r="H985">
        <v>0</v>
      </c>
      <c r="I985">
        <v>0</v>
      </c>
      <c r="J985">
        <v>2</v>
      </c>
      <c r="K985">
        <v>2</v>
      </c>
    </row>
    <row r="986" spans="1:11" x14ac:dyDescent="0.2">
      <c r="A986" t="s">
        <v>11</v>
      </c>
      <c r="B986">
        <v>85</v>
      </c>
      <c r="C986" t="s">
        <v>17</v>
      </c>
      <c r="D986" t="s">
        <v>13</v>
      </c>
      <c r="E986" t="s">
        <v>41</v>
      </c>
      <c r="F986">
        <v>0</v>
      </c>
      <c r="G986">
        <v>1</v>
      </c>
      <c r="H986">
        <v>0</v>
      </c>
      <c r="I986">
        <v>0</v>
      </c>
      <c r="J986">
        <v>1</v>
      </c>
      <c r="K986">
        <v>0.75</v>
      </c>
    </row>
    <row r="987" spans="1:11" x14ac:dyDescent="0.2">
      <c r="A987" t="s">
        <v>11</v>
      </c>
      <c r="B987">
        <v>85</v>
      </c>
      <c r="C987" t="s">
        <v>17</v>
      </c>
      <c r="D987" t="s">
        <v>13</v>
      </c>
      <c r="E987" t="s">
        <v>26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0.1</v>
      </c>
    </row>
    <row r="988" spans="1:11" x14ac:dyDescent="0.2">
      <c r="A988" t="s">
        <v>11</v>
      </c>
      <c r="B988">
        <v>85</v>
      </c>
      <c r="C988" t="s">
        <v>17</v>
      </c>
      <c r="D988" t="s">
        <v>18</v>
      </c>
      <c r="E988" t="s">
        <v>26</v>
      </c>
      <c r="F988">
        <v>0</v>
      </c>
      <c r="G988">
        <v>0</v>
      </c>
      <c r="H988">
        <v>0</v>
      </c>
      <c r="I988">
        <v>1</v>
      </c>
      <c r="J988">
        <v>1</v>
      </c>
      <c r="K988">
        <v>0.1</v>
      </c>
    </row>
    <row r="989" spans="1:11" x14ac:dyDescent="0.2">
      <c r="A989" t="s">
        <v>11</v>
      </c>
      <c r="B989">
        <v>85</v>
      </c>
      <c r="C989" t="s">
        <v>17</v>
      </c>
      <c r="D989" t="s">
        <v>13</v>
      </c>
      <c r="E989" t="s">
        <v>131</v>
      </c>
      <c r="F989">
        <v>1</v>
      </c>
      <c r="G989">
        <v>1</v>
      </c>
      <c r="H989">
        <v>1</v>
      </c>
      <c r="I989">
        <v>0</v>
      </c>
      <c r="J989">
        <v>3</v>
      </c>
      <c r="K989">
        <v>2.25</v>
      </c>
    </row>
    <row r="990" spans="1:11" x14ac:dyDescent="0.2">
      <c r="A990" t="s">
        <v>11</v>
      </c>
      <c r="B990">
        <v>85</v>
      </c>
      <c r="C990" t="s">
        <v>42</v>
      </c>
      <c r="D990" t="s">
        <v>28</v>
      </c>
      <c r="E990" t="s">
        <v>43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0.6</v>
      </c>
    </row>
    <row r="991" spans="1:11" x14ac:dyDescent="0.2">
      <c r="A991" t="s">
        <v>11</v>
      </c>
      <c r="B991">
        <v>85</v>
      </c>
      <c r="C991" t="s">
        <v>45</v>
      </c>
      <c r="D991" t="s">
        <v>13</v>
      </c>
      <c r="E991" t="s">
        <v>27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0.1</v>
      </c>
    </row>
    <row r="992" spans="1:11" x14ac:dyDescent="0.2">
      <c r="A992" t="s">
        <v>11</v>
      </c>
      <c r="B992">
        <v>85</v>
      </c>
      <c r="C992" t="s">
        <v>45</v>
      </c>
      <c r="D992" t="s">
        <v>13</v>
      </c>
      <c r="E992" t="s">
        <v>111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0.1</v>
      </c>
    </row>
    <row r="993" spans="1:11" x14ac:dyDescent="0.2">
      <c r="A993" t="s">
        <v>11</v>
      </c>
      <c r="B993">
        <v>85</v>
      </c>
      <c r="C993" t="s">
        <v>45</v>
      </c>
      <c r="D993" t="s">
        <v>18</v>
      </c>
      <c r="E993" t="s">
        <v>111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0.1</v>
      </c>
    </row>
    <row r="994" spans="1:11" x14ac:dyDescent="0.2">
      <c r="A994" t="s">
        <v>11</v>
      </c>
      <c r="B994">
        <v>86</v>
      </c>
      <c r="C994" t="s">
        <v>20</v>
      </c>
      <c r="D994" t="s">
        <v>13</v>
      </c>
      <c r="E994" t="s">
        <v>33</v>
      </c>
      <c r="F994">
        <v>0</v>
      </c>
      <c r="G994">
        <v>3</v>
      </c>
      <c r="H994">
        <v>0</v>
      </c>
      <c r="I994">
        <v>0</v>
      </c>
      <c r="J994">
        <v>3</v>
      </c>
      <c r="K994">
        <v>2.25</v>
      </c>
    </row>
    <row r="995" spans="1:11" x14ac:dyDescent="0.2">
      <c r="A995" t="s">
        <v>11</v>
      </c>
      <c r="B995">
        <v>86</v>
      </c>
      <c r="C995" t="s">
        <v>20</v>
      </c>
      <c r="D995" t="s">
        <v>13</v>
      </c>
      <c r="E995" t="s">
        <v>34</v>
      </c>
      <c r="F995">
        <v>1</v>
      </c>
      <c r="G995">
        <v>0</v>
      </c>
      <c r="H995">
        <v>0</v>
      </c>
      <c r="I995">
        <v>1</v>
      </c>
      <c r="J995">
        <v>2</v>
      </c>
      <c r="K995">
        <v>1.1000000000000001</v>
      </c>
    </row>
    <row r="996" spans="1:11" x14ac:dyDescent="0.2">
      <c r="A996" t="s">
        <v>11</v>
      </c>
      <c r="B996">
        <v>86</v>
      </c>
      <c r="C996" t="s">
        <v>12</v>
      </c>
      <c r="D996" t="s">
        <v>13</v>
      </c>
      <c r="E996" t="s">
        <v>80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0.6</v>
      </c>
    </row>
    <row r="997" spans="1:11" x14ac:dyDescent="0.2">
      <c r="A997" t="s">
        <v>11</v>
      </c>
      <c r="B997">
        <v>86</v>
      </c>
      <c r="C997" t="s">
        <v>12</v>
      </c>
      <c r="D997" t="s">
        <v>18</v>
      </c>
      <c r="E997" t="s">
        <v>80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0.6</v>
      </c>
    </row>
    <row r="998" spans="1:11" x14ac:dyDescent="0.2">
      <c r="A998" t="s">
        <v>11</v>
      </c>
      <c r="B998">
        <v>86</v>
      </c>
      <c r="C998" t="s">
        <v>12</v>
      </c>
      <c r="D998" t="s">
        <v>13</v>
      </c>
      <c r="E998" t="s">
        <v>24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</row>
    <row r="999" spans="1:11" x14ac:dyDescent="0.2">
      <c r="A999" t="s">
        <v>11</v>
      </c>
      <c r="B999">
        <v>86</v>
      </c>
      <c r="C999" t="s">
        <v>22</v>
      </c>
      <c r="D999" t="s">
        <v>13</v>
      </c>
      <c r="E999" t="s">
        <v>54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0.5</v>
      </c>
    </row>
    <row r="1000" spans="1:11" x14ac:dyDescent="0.2">
      <c r="A1000" t="s">
        <v>11</v>
      </c>
      <c r="B1000">
        <v>86</v>
      </c>
      <c r="C1000" t="s">
        <v>22</v>
      </c>
      <c r="D1000" t="s">
        <v>13</v>
      </c>
      <c r="E1000" t="s">
        <v>55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0.1</v>
      </c>
    </row>
    <row r="1001" spans="1:11" x14ac:dyDescent="0.2">
      <c r="A1001" t="s">
        <v>11</v>
      </c>
      <c r="B1001">
        <v>86</v>
      </c>
      <c r="C1001" t="s">
        <v>17</v>
      </c>
      <c r="D1001" t="s">
        <v>13</v>
      </c>
      <c r="E1001" t="s">
        <v>40</v>
      </c>
      <c r="F1001">
        <v>0</v>
      </c>
      <c r="G1001">
        <v>0</v>
      </c>
      <c r="H1001">
        <v>0</v>
      </c>
      <c r="I1001">
        <v>1</v>
      </c>
      <c r="J1001">
        <v>1</v>
      </c>
      <c r="K1001">
        <v>0.1</v>
      </c>
    </row>
    <row r="1002" spans="1:11" x14ac:dyDescent="0.2">
      <c r="A1002" t="s">
        <v>11</v>
      </c>
      <c r="B1002">
        <v>86</v>
      </c>
      <c r="C1002" t="s">
        <v>17</v>
      </c>
      <c r="D1002" t="s">
        <v>13</v>
      </c>
      <c r="E1002" t="s">
        <v>24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1</v>
      </c>
    </row>
    <row r="1003" spans="1:11" x14ac:dyDescent="0.2">
      <c r="A1003" t="s">
        <v>11</v>
      </c>
      <c r="B1003">
        <v>86</v>
      </c>
      <c r="C1003" t="s">
        <v>17</v>
      </c>
      <c r="D1003" t="s">
        <v>13</v>
      </c>
      <c r="E1003" t="s">
        <v>41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0.1</v>
      </c>
    </row>
    <row r="1004" spans="1:11" x14ac:dyDescent="0.2">
      <c r="A1004" t="s">
        <v>11</v>
      </c>
      <c r="B1004">
        <v>86</v>
      </c>
      <c r="C1004" t="s">
        <v>45</v>
      </c>
      <c r="D1004" t="s">
        <v>13</v>
      </c>
      <c r="E1004" t="s">
        <v>46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0.5</v>
      </c>
    </row>
    <row r="1005" spans="1:11" x14ac:dyDescent="0.2">
      <c r="A1005" t="s">
        <v>11</v>
      </c>
      <c r="B1005">
        <v>87</v>
      </c>
      <c r="C1005" t="s">
        <v>20</v>
      </c>
      <c r="D1005" t="s">
        <v>13</v>
      </c>
      <c r="E1005" t="s">
        <v>72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0.75</v>
      </c>
    </row>
    <row r="1006" spans="1:11" x14ac:dyDescent="0.2">
      <c r="A1006" t="s">
        <v>11</v>
      </c>
      <c r="B1006">
        <v>87</v>
      </c>
      <c r="C1006" t="s">
        <v>12</v>
      </c>
      <c r="D1006" t="s">
        <v>13</v>
      </c>
      <c r="E1006" t="s">
        <v>101</v>
      </c>
      <c r="F1006">
        <v>1</v>
      </c>
      <c r="G1006">
        <v>0</v>
      </c>
      <c r="H1006">
        <v>2</v>
      </c>
      <c r="I1006">
        <v>1</v>
      </c>
      <c r="J1006">
        <v>4</v>
      </c>
      <c r="K1006">
        <v>2.1</v>
      </c>
    </row>
    <row r="1007" spans="1:11" x14ac:dyDescent="0.2">
      <c r="A1007" t="s">
        <v>11</v>
      </c>
      <c r="B1007">
        <v>87</v>
      </c>
      <c r="C1007" t="s">
        <v>15</v>
      </c>
      <c r="D1007" t="s">
        <v>13</v>
      </c>
      <c r="E1007" t="s">
        <v>16</v>
      </c>
      <c r="F1007">
        <v>0</v>
      </c>
      <c r="G1007">
        <v>0</v>
      </c>
      <c r="H1007">
        <v>1</v>
      </c>
      <c r="I1007">
        <v>1</v>
      </c>
      <c r="J1007">
        <v>2</v>
      </c>
      <c r="K1007">
        <v>0.6</v>
      </c>
    </row>
    <row r="1008" spans="1:11" x14ac:dyDescent="0.2">
      <c r="A1008" t="s">
        <v>11</v>
      </c>
      <c r="B1008">
        <v>87</v>
      </c>
      <c r="C1008" t="s">
        <v>22</v>
      </c>
      <c r="D1008" t="s">
        <v>13</v>
      </c>
      <c r="E1008" t="s">
        <v>54</v>
      </c>
      <c r="F1008">
        <v>0</v>
      </c>
      <c r="G1008">
        <v>0</v>
      </c>
      <c r="H1008">
        <v>1</v>
      </c>
      <c r="I1008">
        <v>1</v>
      </c>
      <c r="J1008">
        <v>2</v>
      </c>
      <c r="K1008">
        <v>0.6</v>
      </c>
    </row>
    <row r="1009" spans="1:11" x14ac:dyDescent="0.2">
      <c r="A1009" t="s">
        <v>11</v>
      </c>
      <c r="B1009">
        <v>87</v>
      </c>
      <c r="C1009" t="s">
        <v>17</v>
      </c>
      <c r="D1009" t="s">
        <v>18</v>
      </c>
      <c r="E1009" t="s">
        <v>82</v>
      </c>
      <c r="F1009">
        <v>0</v>
      </c>
      <c r="G1009">
        <v>0</v>
      </c>
      <c r="H1009">
        <v>1</v>
      </c>
      <c r="I1009">
        <v>0</v>
      </c>
      <c r="J1009">
        <v>1</v>
      </c>
      <c r="K1009">
        <v>0.5</v>
      </c>
    </row>
    <row r="1010" spans="1:11" x14ac:dyDescent="0.2">
      <c r="A1010" t="s">
        <v>11</v>
      </c>
      <c r="B1010">
        <v>87</v>
      </c>
      <c r="C1010" t="s">
        <v>17</v>
      </c>
      <c r="D1010" t="s">
        <v>13</v>
      </c>
      <c r="E1010" t="s">
        <v>40</v>
      </c>
      <c r="F1010">
        <v>0</v>
      </c>
      <c r="G1010">
        <v>0</v>
      </c>
      <c r="H1010">
        <v>0</v>
      </c>
      <c r="I1010">
        <v>1</v>
      </c>
      <c r="J1010">
        <v>1</v>
      </c>
      <c r="K1010">
        <v>0.1</v>
      </c>
    </row>
    <row r="1011" spans="1:11" x14ac:dyDescent="0.2">
      <c r="A1011" t="s">
        <v>11</v>
      </c>
      <c r="B1011">
        <v>87</v>
      </c>
      <c r="C1011" t="s">
        <v>17</v>
      </c>
      <c r="D1011" t="s">
        <v>18</v>
      </c>
      <c r="E1011" t="s">
        <v>19</v>
      </c>
      <c r="F1011">
        <v>0</v>
      </c>
      <c r="G1011">
        <v>0</v>
      </c>
      <c r="H1011">
        <v>1</v>
      </c>
      <c r="I1011">
        <v>1</v>
      </c>
      <c r="J1011">
        <v>2</v>
      </c>
      <c r="K1011">
        <v>0.7</v>
      </c>
    </row>
    <row r="1012" spans="1:11" x14ac:dyDescent="0.2">
      <c r="A1012" t="s">
        <v>11</v>
      </c>
      <c r="B1012">
        <v>87</v>
      </c>
      <c r="C1012" t="s">
        <v>17</v>
      </c>
      <c r="D1012" t="s">
        <v>13</v>
      </c>
      <c r="E1012" t="s">
        <v>132</v>
      </c>
      <c r="F1012">
        <v>0</v>
      </c>
      <c r="G1012">
        <v>0</v>
      </c>
      <c r="H1012">
        <v>2</v>
      </c>
      <c r="I1012">
        <v>1</v>
      </c>
      <c r="J1012">
        <v>3</v>
      </c>
      <c r="K1012">
        <v>1.1000000000000001</v>
      </c>
    </row>
    <row r="1013" spans="1:11" x14ac:dyDescent="0.2">
      <c r="A1013" t="s">
        <v>11</v>
      </c>
      <c r="B1013">
        <v>87</v>
      </c>
      <c r="C1013" t="s">
        <v>42</v>
      </c>
      <c r="D1013" t="s">
        <v>18</v>
      </c>
      <c r="E1013" t="s">
        <v>108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0.1</v>
      </c>
    </row>
    <row r="1014" spans="1:11" x14ac:dyDescent="0.2">
      <c r="A1014" t="s">
        <v>11</v>
      </c>
      <c r="B1014">
        <v>87</v>
      </c>
      <c r="C1014" t="s">
        <v>42</v>
      </c>
      <c r="D1014" t="s">
        <v>28</v>
      </c>
      <c r="E1014" t="s">
        <v>51</v>
      </c>
      <c r="F1014">
        <v>0</v>
      </c>
      <c r="G1014">
        <v>0</v>
      </c>
      <c r="H1014">
        <v>1</v>
      </c>
      <c r="I1014">
        <v>0</v>
      </c>
      <c r="J1014">
        <v>1</v>
      </c>
      <c r="K1014">
        <v>0.5</v>
      </c>
    </row>
    <row r="1015" spans="1:11" x14ac:dyDescent="0.2">
      <c r="A1015" t="s">
        <v>11</v>
      </c>
      <c r="B1015">
        <v>87</v>
      </c>
      <c r="C1015" t="s">
        <v>42</v>
      </c>
      <c r="D1015" t="s">
        <v>13</v>
      </c>
      <c r="E1015" t="s">
        <v>56</v>
      </c>
      <c r="F1015">
        <v>0</v>
      </c>
      <c r="G1015">
        <v>0</v>
      </c>
      <c r="H1015">
        <v>1</v>
      </c>
      <c r="I1015">
        <v>0</v>
      </c>
      <c r="J1015">
        <v>1</v>
      </c>
      <c r="K1015">
        <v>0.5</v>
      </c>
    </row>
    <row r="1016" spans="1:11" x14ac:dyDescent="0.2">
      <c r="A1016" t="s">
        <v>11</v>
      </c>
      <c r="B1016">
        <v>87</v>
      </c>
      <c r="C1016" t="s">
        <v>45</v>
      </c>
      <c r="D1016" t="s">
        <v>13</v>
      </c>
      <c r="E1016" t="s">
        <v>77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0.75</v>
      </c>
    </row>
    <row r="1017" spans="1:11" x14ac:dyDescent="0.2">
      <c r="A1017" t="s">
        <v>11</v>
      </c>
      <c r="B1017">
        <v>88</v>
      </c>
      <c r="C1017" t="s">
        <v>20</v>
      </c>
      <c r="D1017" t="s">
        <v>28</v>
      </c>
      <c r="E1017" t="s">
        <v>29</v>
      </c>
      <c r="F1017">
        <v>1</v>
      </c>
      <c r="G1017">
        <v>0</v>
      </c>
      <c r="H1017">
        <v>0</v>
      </c>
      <c r="I1017">
        <v>0</v>
      </c>
      <c r="J1017">
        <v>1</v>
      </c>
      <c r="K1017">
        <v>1</v>
      </c>
    </row>
    <row r="1018" spans="1:11" x14ac:dyDescent="0.2">
      <c r="A1018" t="s">
        <v>11</v>
      </c>
      <c r="B1018">
        <v>88</v>
      </c>
      <c r="C1018" t="s">
        <v>20</v>
      </c>
      <c r="D1018" t="s">
        <v>13</v>
      </c>
      <c r="E1018" t="s">
        <v>81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0.1</v>
      </c>
    </row>
    <row r="1019" spans="1:11" x14ac:dyDescent="0.2">
      <c r="A1019" t="s">
        <v>11</v>
      </c>
      <c r="B1019">
        <v>88</v>
      </c>
      <c r="C1019" t="s">
        <v>20</v>
      </c>
      <c r="D1019" t="s">
        <v>13</v>
      </c>
      <c r="E1019" t="s">
        <v>37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0.1</v>
      </c>
    </row>
    <row r="1020" spans="1:11" x14ac:dyDescent="0.2">
      <c r="A1020" t="s">
        <v>11</v>
      </c>
      <c r="B1020">
        <v>88</v>
      </c>
      <c r="C1020" t="s">
        <v>12</v>
      </c>
      <c r="D1020" t="s">
        <v>13</v>
      </c>
      <c r="E1020" t="s">
        <v>101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0.1</v>
      </c>
    </row>
    <row r="1021" spans="1:11" x14ac:dyDescent="0.2">
      <c r="A1021" t="s">
        <v>11</v>
      </c>
      <c r="B1021">
        <v>88</v>
      </c>
      <c r="C1021" t="s">
        <v>15</v>
      </c>
      <c r="D1021" t="s">
        <v>13</v>
      </c>
      <c r="E1021" t="s">
        <v>81</v>
      </c>
      <c r="F1021">
        <v>0</v>
      </c>
      <c r="G1021">
        <v>0</v>
      </c>
      <c r="H1021">
        <v>0</v>
      </c>
      <c r="I1021">
        <v>1</v>
      </c>
      <c r="J1021">
        <v>1</v>
      </c>
      <c r="K1021">
        <v>0.1</v>
      </c>
    </row>
    <row r="1022" spans="1:11" x14ac:dyDescent="0.2">
      <c r="A1022" t="s">
        <v>11</v>
      </c>
      <c r="B1022">
        <v>88</v>
      </c>
      <c r="C1022" t="s">
        <v>15</v>
      </c>
      <c r="D1022" t="s">
        <v>13</v>
      </c>
      <c r="E1022" t="s">
        <v>97</v>
      </c>
      <c r="F1022">
        <v>0</v>
      </c>
      <c r="G1022">
        <v>0</v>
      </c>
      <c r="H1022">
        <v>2</v>
      </c>
      <c r="I1022">
        <v>0</v>
      </c>
      <c r="J1022">
        <v>2</v>
      </c>
      <c r="K1022">
        <v>1</v>
      </c>
    </row>
    <row r="1023" spans="1:11" x14ac:dyDescent="0.2">
      <c r="A1023" t="s">
        <v>11</v>
      </c>
      <c r="B1023">
        <v>88</v>
      </c>
      <c r="C1023" t="s">
        <v>15</v>
      </c>
      <c r="D1023" t="s">
        <v>13</v>
      </c>
      <c r="E1023" t="s">
        <v>67</v>
      </c>
      <c r="F1023">
        <v>1</v>
      </c>
      <c r="G1023">
        <v>0</v>
      </c>
      <c r="H1023">
        <v>1</v>
      </c>
      <c r="I1023">
        <v>0</v>
      </c>
      <c r="J1023">
        <v>2</v>
      </c>
      <c r="K1023">
        <v>1.5</v>
      </c>
    </row>
    <row r="1024" spans="1:11" x14ac:dyDescent="0.2">
      <c r="A1024" t="s">
        <v>11</v>
      </c>
      <c r="B1024">
        <v>88</v>
      </c>
      <c r="C1024" t="s">
        <v>22</v>
      </c>
      <c r="D1024" t="s">
        <v>13</v>
      </c>
      <c r="E1024" t="s">
        <v>54</v>
      </c>
      <c r="F1024">
        <v>0</v>
      </c>
      <c r="G1024">
        <v>0</v>
      </c>
      <c r="H1024">
        <v>5</v>
      </c>
      <c r="I1024">
        <v>1</v>
      </c>
      <c r="J1024">
        <v>6</v>
      </c>
      <c r="K1024">
        <v>2.6</v>
      </c>
    </row>
    <row r="1025" spans="1:11" x14ac:dyDescent="0.2">
      <c r="A1025" t="s">
        <v>11</v>
      </c>
      <c r="B1025">
        <v>88</v>
      </c>
      <c r="C1025" t="s">
        <v>22</v>
      </c>
      <c r="D1025" t="s">
        <v>13</v>
      </c>
      <c r="E1025" t="s">
        <v>81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0.1</v>
      </c>
    </row>
    <row r="1026" spans="1:11" x14ac:dyDescent="0.2">
      <c r="A1026" t="s">
        <v>11</v>
      </c>
      <c r="B1026">
        <v>88</v>
      </c>
      <c r="C1026" t="s">
        <v>17</v>
      </c>
      <c r="D1026" t="s">
        <v>13</v>
      </c>
      <c r="E1026" t="s">
        <v>59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0.1</v>
      </c>
    </row>
    <row r="1027" spans="1:11" x14ac:dyDescent="0.2">
      <c r="A1027" t="s">
        <v>11</v>
      </c>
      <c r="B1027">
        <v>88</v>
      </c>
      <c r="C1027" t="s">
        <v>17</v>
      </c>
      <c r="D1027" t="s">
        <v>13</v>
      </c>
      <c r="E1027" t="s">
        <v>40</v>
      </c>
      <c r="F1027">
        <v>0</v>
      </c>
      <c r="G1027">
        <v>0</v>
      </c>
      <c r="H1027">
        <v>0</v>
      </c>
      <c r="I1027">
        <v>1</v>
      </c>
      <c r="J1027">
        <v>1</v>
      </c>
      <c r="K1027">
        <v>0.1</v>
      </c>
    </row>
    <row r="1028" spans="1:11" x14ac:dyDescent="0.2">
      <c r="A1028" t="s">
        <v>11</v>
      </c>
      <c r="B1028">
        <v>88</v>
      </c>
      <c r="C1028" t="s">
        <v>17</v>
      </c>
      <c r="D1028" t="s">
        <v>13</v>
      </c>
      <c r="E1028" t="s">
        <v>132</v>
      </c>
      <c r="F1028">
        <v>0</v>
      </c>
      <c r="G1028">
        <v>0</v>
      </c>
      <c r="H1028">
        <v>3</v>
      </c>
      <c r="I1028">
        <v>1</v>
      </c>
      <c r="J1028">
        <v>4</v>
      </c>
      <c r="K1028">
        <v>1.6</v>
      </c>
    </row>
    <row r="1029" spans="1:11" x14ac:dyDescent="0.2">
      <c r="A1029" t="s">
        <v>11</v>
      </c>
      <c r="B1029">
        <v>88</v>
      </c>
      <c r="C1029" t="s">
        <v>42</v>
      </c>
      <c r="D1029" t="s">
        <v>28</v>
      </c>
      <c r="E1029" t="s">
        <v>43</v>
      </c>
      <c r="F1029">
        <v>0</v>
      </c>
      <c r="G1029">
        <v>0</v>
      </c>
      <c r="H1029">
        <v>1</v>
      </c>
      <c r="I1029">
        <v>0</v>
      </c>
      <c r="J1029">
        <v>1</v>
      </c>
      <c r="K1029">
        <v>0.6</v>
      </c>
    </row>
    <row r="1030" spans="1:11" x14ac:dyDescent="0.2">
      <c r="A1030" t="s">
        <v>11</v>
      </c>
      <c r="B1030">
        <v>88</v>
      </c>
      <c r="C1030" t="s">
        <v>42</v>
      </c>
      <c r="D1030" t="s">
        <v>13</v>
      </c>
      <c r="E1030" t="s">
        <v>81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0.1</v>
      </c>
    </row>
    <row r="1031" spans="1:11" x14ac:dyDescent="0.2">
      <c r="A1031" t="s">
        <v>11</v>
      </c>
      <c r="B1031">
        <v>88</v>
      </c>
      <c r="C1031" t="s">
        <v>45</v>
      </c>
      <c r="D1031" t="s">
        <v>18</v>
      </c>
      <c r="E1031" t="s">
        <v>96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0.1</v>
      </c>
    </row>
    <row r="1032" spans="1:11" x14ac:dyDescent="0.2">
      <c r="A1032" t="s">
        <v>11</v>
      </c>
      <c r="B1032">
        <v>89</v>
      </c>
      <c r="C1032" t="s">
        <v>20</v>
      </c>
      <c r="D1032" t="s">
        <v>28</v>
      </c>
      <c r="E1032" t="s">
        <v>29</v>
      </c>
      <c r="F1032">
        <v>0</v>
      </c>
      <c r="G1032">
        <v>1</v>
      </c>
      <c r="H1032">
        <v>0</v>
      </c>
      <c r="I1032">
        <v>0</v>
      </c>
      <c r="J1032">
        <v>1</v>
      </c>
      <c r="K1032">
        <v>0.75</v>
      </c>
    </row>
    <row r="1033" spans="1:11" x14ac:dyDescent="0.2">
      <c r="A1033" t="s">
        <v>11</v>
      </c>
      <c r="B1033">
        <v>89</v>
      </c>
      <c r="C1033" t="s">
        <v>20</v>
      </c>
      <c r="D1033" t="s">
        <v>13</v>
      </c>
      <c r="E1033" t="s">
        <v>33</v>
      </c>
      <c r="F1033">
        <v>0</v>
      </c>
      <c r="G1033">
        <v>2</v>
      </c>
      <c r="H1033">
        <v>0</v>
      </c>
      <c r="I1033">
        <v>0</v>
      </c>
      <c r="J1033">
        <v>2</v>
      </c>
      <c r="K1033">
        <v>1.5</v>
      </c>
    </row>
    <row r="1034" spans="1:11" x14ac:dyDescent="0.2">
      <c r="A1034" t="s">
        <v>11</v>
      </c>
      <c r="B1034">
        <v>89</v>
      </c>
      <c r="C1034" t="s">
        <v>20</v>
      </c>
      <c r="D1034" t="s">
        <v>13</v>
      </c>
      <c r="E1034" t="s">
        <v>37</v>
      </c>
      <c r="F1034">
        <v>0</v>
      </c>
      <c r="G1034">
        <v>0</v>
      </c>
      <c r="H1034">
        <v>0</v>
      </c>
      <c r="I1034">
        <v>2</v>
      </c>
      <c r="J1034">
        <v>2</v>
      </c>
      <c r="K1034">
        <v>0.2</v>
      </c>
    </row>
    <row r="1035" spans="1:11" x14ac:dyDescent="0.2">
      <c r="A1035" t="s">
        <v>11</v>
      </c>
      <c r="B1035">
        <v>89</v>
      </c>
      <c r="C1035" t="s">
        <v>22</v>
      </c>
      <c r="D1035" t="s">
        <v>13</v>
      </c>
      <c r="E1035" t="s">
        <v>55</v>
      </c>
      <c r="F1035">
        <v>1</v>
      </c>
      <c r="G1035">
        <v>0</v>
      </c>
      <c r="H1035">
        <v>0</v>
      </c>
      <c r="I1035">
        <v>0</v>
      </c>
      <c r="J1035">
        <v>1</v>
      </c>
      <c r="K1035">
        <v>1</v>
      </c>
    </row>
    <row r="1036" spans="1:11" x14ac:dyDescent="0.2">
      <c r="A1036" t="s">
        <v>11</v>
      </c>
      <c r="B1036">
        <v>89</v>
      </c>
      <c r="C1036" t="s">
        <v>17</v>
      </c>
      <c r="D1036" t="s">
        <v>13</v>
      </c>
      <c r="E1036" t="s">
        <v>41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0.1</v>
      </c>
    </row>
    <row r="1037" spans="1:11" x14ac:dyDescent="0.2">
      <c r="A1037" t="s">
        <v>11</v>
      </c>
      <c r="B1037">
        <v>89</v>
      </c>
      <c r="C1037" t="s">
        <v>42</v>
      </c>
      <c r="D1037" t="s">
        <v>28</v>
      </c>
      <c r="E1037" t="s">
        <v>43</v>
      </c>
      <c r="F1037">
        <v>0</v>
      </c>
      <c r="G1037">
        <v>0</v>
      </c>
      <c r="H1037">
        <v>2</v>
      </c>
      <c r="I1037">
        <v>0</v>
      </c>
      <c r="J1037">
        <v>2</v>
      </c>
      <c r="K1037">
        <v>1.2</v>
      </c>
    </row>
    <row r="1038" spans="1:11" x14ac:dyDescent="0.2">
      <c r="A1038" t="s">
        <v>11</v>
      </c>
      <c r="B1038">
        <v>89</v>
      </c>
      <c r="C1038" t="s">
        <v>42</v>
      </c>
      <c r="D1038" t="s">
        <v>13</v>
      </c>
      <c r="E1038" t="s">
        <v>52</v>
      </c>
      <c r="F1038">
        <v>1</v>
      </c>
      <c r="G1038">
        <v>0</v>
      </c>
      <c r="H1038">
        <v>1</v>
      </c>
      <c r="I1038">
        <v>0</v>
      </c>
      <c r="J1038">
        <v>2</v>
      </c>
      <c r="K1038">
        <v>1.5</v>
      </c>
    </row>
    <row r="1039" spans="1:11" x14ac:dyDescent="0.2">
      <c r="A1039" t="s">
        <v>11</v>
      </c>
      <c r="B1039">
        <v>89</v>
      </c>
      <c r="C1039" t="s">
        <v>42</v>
      </c>
      <c r="D1039" t="s">
        <v>13</v>
      </c>
      <c r="E1039" t="s">
        <v>56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0.5</v>
      </c>
    </row>
    <row r="1040" spans="1:11" x14ac:dyDescent="0.2">
      <c r="A1040" t="s">
        <v>11</v>
      </c>
      <c r="B1040">
        <v>90</v>
      </c>
      <c r="C1040" t="s">
        <v>20</v>
      </c>
      <c r="D1040" t="s">
        <v>13</v>
      </c>
      <c r="E1040" t="s">
        <v>33</v>
      </c>
      <c r="F1040">
        <v>0</v>
      </c>
      <c r="G1040">
        <v>3</v>
      </c>
      <c r="H1040">
        <v>0</v>
      </c>
      <c r="I1040">
        <v>0</v>
      </c>
      <c r="J1040">
        <v>3</v>
      </c>
      <c r="K1040">
        <v>2.25</v>
      </c>
    </row>
    <row r="1041" spans="1:11" x14ac:dyDescent="0.2">
      <c r="A1041" t="s">
        <v>11</v>
      </c>
      <c r="B1041">
        <v>90</v>
      </c>
      <c r="C1041" t="s">
        <v>20</v>
      </c>
      <c r="D1041" t="s">
        <v>18</v>
      </c>
      <c r="E1041" t="s">
        <v>35</v>
      </c>
      <c r="F1041">
        <v>0</v>
      </c>
      <c r="G1041">
        <v>1</v>
      </c>
      <c r="H1041">
        <v>0</v>
      </c>
      <c r="I1041">
        <v>1</v>
      </c>
      <c r="J1041">
        <v>2</v>
      </c>
      <c r="K1041">
        <v>0.85</v>
      </c>
    </row>
    <row r="1042" spans="1:11" x14ac:dyDescent="0.2">
      <c r="A1042" t="s">
        <v>11</v>
      </c>
      <c r="B1042">
        <v>90</v>
      </c>
      <c r="C1042" t="s">
        <v>20</v>
      </c>
      <c r="D1042" t="s">
        <v>13</v>
      </c>
      <c r="E1042" t="s">
        <v>37</v>
      </c>
      <c r="F1042">
        <v>0</v>
      </c>
      <c r="G1042">
        <v>1</v>
      </c>
      <c r="H1042">
        <v>0</v>
      </c>
      <c r="I1042">
        <v>2</v>
      </c>
      <c r="J1042">
        <v>3</v>
      </c>
      <c r="K1042">
        <v>0.95</v>
      </c>
    </row>
    <row r="1043" spans="1:11" x14ac:dyDescent="0.2">
      <c r="A1043" t="s">
        <v>11</v>
      </c>
      <c r="B1043">
        <v>90</v>
      </c>
      <c r="C1043" t="s">
        <v>22</v>
      </c>
      <c r="D1043" t="s">
        <v>13</v>
      </c>
      <c r="E1043" t="s">
        <v>55</v>
      </c>
      <c r="F1043">
        <v>4</v>
      </c>
      <c r="G1043">
        <v>0</v>
      </c>
      <c r="H1043">
        <v>0</v>
      </c>
      <c r="I1043">
        <v>0</v>
      </c>
      <c r="J1043">
        <v>4</v>
      </c>
      <c r="K1043">
        <v>4</v>
      </c>
    </row>
    <row r="1044" spans="1:11" x14ac:dyDescent="0.2">
      <c r="A1044" t="s">
        <v>11</v>
      </c>
      <c r="B1044">
        <v>90</v>
      </c>
      <c r="C1044" t="s">
        <v>42</v>
      </c>
      <c r="D1044" t="s">
        <v>28</v>
      </c>
      <c r="E1044" t="s">
        <v>43</v>
      </c>
      <c r="F1044">
        <v>0</v>
      </c>
      <c r="G1044">
        <v>1</v>
      </c>
      <c r="H1044">
        <v>2</v>
      </c>
      <c r="I1044">
        <v>0</v>
      </c>
      <c r="J1044">
        <v>3</v>
      </c>
      <c r="K1044">
        <v>1.95</v>
      </c>
    </row>
    <row r="1045" spans="1:11" x14ac:dyDescent="0.2">
      <c r="A1045" t="s">
        <v>11</v>
      </c>
      <c r="B1045">
        <v>90</v>
      </c>
      <c r="C1045" t="s">
        <v>42</v>
      </c>
      <c r="D1045" t="s">
        <v>28</v>
      </c>
      <c r="E1045" t="s">
        <v>51</v>
      </c>
      <c r="F1045">
        <v>0</v>
      </c>
      <c r="G1045">
        <v>0</v>
      </c>
      <c r="H1045">
        <v>3</v>
      </c>
      <c r="I1045">
        <v>0</v>
      </c>
      <c r="J1045">
        <v>3</v>
      </c>
      <c r="K1045">
        <v>1.5</v>
      </c>
    </row>
    <row r="1046" spans="1:11" x14ac:dyDescent="0.2">
      <c r="A1046" t="s">
        <v>11</v>
      </c>
      <c r="B1046">
        <v>90</v>
      </c>
      <c r="C1046" t="s">
        <v>42</v>
      </c>
      <c r="D1046" t="s">
        <v>13</v>
      </c>
      <c r="E1046" t="s">
        <v>35</v>
      </c>
      <c r="F1046">
        <v>0</v>
      </c>
      <c r="G1046">
        <v>1</v>
      </c>
      <c r="H1046">
        <v>0</v>
      </c>
      <c r="I1046">
        <v>1</v>
      </c>
      <c r="J1046">
        <v>2</v>
      </c>
      <c r="K1046">
        <v>0.85</v>
      </c>
    </row>
    <row r="1047" spans="1:11" x14ac:dyDescent="0.2">
      <c r="A1047" t="s">
        <v>11</v>
      </c>
      <c r="B1047">
        <v>90</v>
      </c>
      <c r="C1047" t="s">
        <v>42</v>
      </c>
      <c r="D1047" t="s">
        <v>18</v>
      </c>
      <c r="E1047" t="s">
        <v>44</v>
      </c>
      <c r="F1047">
        <v>0</v>
      </c>
      <c r="G1047">
        <v>1</v>
      </c>
      <c r="H1047">
        <v>1</v>
      </c>
      <c r="I1047">
        <v>0</v>
      </c>
      <c r="J1047">
        <v>2</v>
      </c>
      <c r="K1047">
        <v>1.35</v>
      </c>
    </row>
    <row r="1048" spans="1:11" x14ac:dyDescent="0.2">
      <c r="A1048" t="s">
        <v>11</v>
      </c>
      <c r="B1048">
        <v>90</v>
      </c>
      <c r="C1048" t="s">
        <v>42</v>
      </c>
      <c r="D1048" t="s">
        <v>13</v>
      </c>
      <c r="E1048" t="s">
        <v>52</v>
      </c>
      <c r="F1048">
        <v>2</v>
      </c>
      <c r="G1048">
        <v>0</v>
      </c>
      <c r="H1048">
        <v>0</v>
      </c>
      <c r="I1048">
        <v>0</v>
      </c>
      <c r="J1048">
        <v>2</v>
      </c>
      <c r="K1048">
        <v>2</v>
      </c>
    </row>
    <row r="1049" spans="1:11" x14ac:dyDescent="0.2">
      <c r="A1049" t="s">
        <v>11</v>
      </c>
      <c r="B1049">
        <v>91</v>
      </c>
      <c r="C1049" t="s">
        <v>20</v>
      </c>
      <c r="D1049" t="s">
        <v>28</v>
      </c>
      <c r="E1049" t="s">
        <v>29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0.75</v>
      </c>
    </row>
    <row r="1050" spans="1:11" x14ac:dyDescent="0.2">
      <c r="A1050" t="s">
        <v>11</v>
      </c>
      <c r="B1050">
        <v>91</v>
      </c>
      <c r="C1050" t="s">
        <v>20</v>
      </c>
      <c r="D1050" t="s">
        <v>18</v>
      </c>
      <c r="E1050" t="s">
        <v>57</v>
      </c>
      <c r="F1050">
        <v>0</v>
      </c>
      <c r="G1050">
        <v>1</v>
      </c>
      <c r="H1050">
        <v>0</v>
      </c>
      <c r="I1050">
        <v>1</v>
      </c>
      <c r="J1050">
        <v>2</v>
      </c>
      <c r="K1050">
        <v>0.85</v>
      </c>
    </row>
    <row r="1051" spans="1:11" x14ac:dyDescent="0.2">
      <c r="A1051" t="s">
        <v>11</v>
      </c>
      <c r="B1051">
        <v>91</v>
      </c>
      <c r="C1051" t="s">
        <v>20</v>
      </c>
      <c r="D1051" t="s">
        <v>13</v>
      </c>
      <c r="E1051" t="s">
        <v>37</v>
      </c>
      <c r="F1051">
        <v>2</v>
      </c>
      <c r="G1051">
        <v>1</v>
      </c>
      <c r="H1051">
        <v>0</v>
      </c>
      <c r="I1051">
        <v>0</v>
      </c>
      <c r="J1051">
        <v>3</v>
      </c>
      <c r="K1051">
        <v>2.75</v>
      </c>
    </row>
    <row r="1052" spans="1:11" x14ac:dyDescent="0.2">
      <c r="A1052" t="s">
        <v>11</v>
      </c>
      <c r="B1052">
        <v>91</v>
      </c>
      <c r="C1052" t="s">
        <v>15</v>
      </c>
      <c r="D1052" t="s">
        <v>28</v>
      </c>
      <c r="E1052" t="s">
        <v>57</v>
      </c>
      <c r="F1052">
        <v>0</v>
      </c>
      <c r="G1052">
        <v>1</v>
      </c>
      <c r="H1052">
        <v>0</v>
      </c>
      <c r="I1052">
        <v>1</v>
      </c>
      <c r="J1052">
        <v>2</v>
      </c>
      <c r="K1052">
        <v>0.85</v>
      </c>
    </row>
    <row r="1053" spans="1:11" x14ac:dyDescent="0.2">
      <c r="A1053" t="s">
        <v>11</v>
      </c>
      <c r="B1053">
        <v>91</v>
      </c>
      <c r="C1053" t="s">
        <v>17</v>
      </c>
      <c r="D1053" t="s">
        <v>13</v>
      </c>
      <c r="E1053" t="s">
        <v>40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0.1</v>
      </c>
    </row>
    <row r="1054" spans="1:11" x14ac:dyDescent="0.2">
      <c r="A1054" t="s">
        <v>11</v>
      </c>
      <c r="B1054">
        <v>91</v>
      </c>
      <c r="C1054" t="s">
        <v>17</v>
      </c>
      <c r="D1054" t="s">
        <v>18</v>
      </c>
      <c r="E1054" t="s">
        <v>93</v>
      </c>
      <c r="F1054">
        <v>2</v>
      </c>
      <c r="G1054">
        <v>0</v>
      </c>
      <c r="H1054">
        <v>6</v>
      </c>
      <c r="I1054">
        <v>5</v>
      </c>
      <c r="J1054">
        <v>13</v>
      </c>
      <c r="K1054">
        <v>5.5</v>
      </c>
    </row>
    <row r="1055" spans="1:11" x14ac:dyDescent="0.2">
      <c r="A1055" t="s">
        <v>11</v>
      </c>
      <c r="B1055">
        <v>91</v>
      </c>
      <c r="C1055" t="s">
        <v>42</v>
      </c>
      <c r="D1055" t="s">
        <v>28</v>
      </c>
      <c r="E1055" t="s">
        <v>43</v>
      </c>
      <c r="F1055">
        <v>0</v>
      </c>
      <c r="G1055">
        <v>3</v>
      </c>
      <c r="H1055">
        <v>0</v>
      </c>
      <c r="I1055">
        <v>0</v>
      </c>
      <c r="J1055">
        <v>3</v>
      </c>
      <c r="K1055">
        <v>2.25</v>
      </c>
    </row>
    <row r="1056" spans="1:11" x14ac:dyDescent="0.2">
      <c r="A1056" t="s">
        <v>11</v>
      </c>
      <c r="B1056">
        <v>92</v>
      </c>
      <c r="C1056" t="s">
        <v>20</v>
      </c>
      <c r="D1056" t="s">
        <v>13</v>
      </c>
      <c r="E1056" t="s">
        <v>27</v>
      </c>
      <c r="F1056">
        <v>0</v>
      </c>
      <c r="G1056">
        <v>0</v>
      </c>
      <c r="H1056">
        <v>0</v>
      </c>
      <c r="I1056">
        <v>1</v>
      </c>
      <c r="J1056">
        <v>1</v>
      </c>
      <c r="K1056">
        <v>0.1</v>
      </c>
    </row>
    <row r="1057" spans="1:11" x14ac:dyDescent="0.2">
      <c r="A1057" t="s">
        <v>11</v>
      </c>
      <c r="B1057">
        <v>92</v>
      </c>
      <c r="C1057" t="s">
        <v>20</v>
      </c>
      <c r="D1057" t="s">
        <v>18</v>
      </c>
      <c r="E1057" t="s">
        <v>27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0.1</v>
      </c>
    </row>
    <row r="1058" spans="1:11" x14ac:dyDescent="0.2">
      <c r="A1058" t="s">
        <v>11</v>
      </c>
      <c r="B1058">
        <v>92</v>
      </c>
      <c r="C1058" t="s">
        <v>20</v>
      </c>
      <c r="D1058" t="s">
        <v>28</v>
      </c>
      <c r="E1058" t="s">
        <v>29</v>
      </c>
      <c r="F1058">
        <v>0</v>
      </c>
      <c r="G1058">
        <v>2</v>
      </c>
      <c r="H1058">
        <v>0</v>
      </c>
      <c r="I1058">
        <v>0</v>
      </c>
      <c r="J1058">
        <v>2</v>
      </c>
      <c r="K1058">
        <v>1.5</v>
      </c>
    </row>
    <row r="1059" spans="1:11" x14ac:dyDescent="0.2">
      <c r="A1059" t="s">
        <v>11</v>
      </c>
      <c r="B1059">
        <v>92</v>
      </c>
      <c r="C1059" t="s">
        <v>20</v>
      </c>
      <c r="D1059" t="s">
        <v>13</v>
      </c>
      <c r="E1059" t="s">
        <v>81</v>
      </c>
      <c r="F1059">
        <v>1</v>
      </c>
      <c r="G1059">
        <v>0</v>
      </c>
      <c r="H1059">
        <v>0</v>
      </c>
      <c r="I1059">
        <v>0</v>
      </c>
      <c r="J1059">
        <v>1</v>
      </c>
      <c r="K1059">
        <v>1</v>
      </c>
    </row>
    <row r="1060" spans="1:11" x14ac:dyDescent="0.2">
      <c r="A1060" t="s">
        <v>11</v>
      </c>
      <c r="B1060">
        <v>92</v>
      </c>
      <c r="C1060" t="s">
        <v>20</v>
      </c>
      <c r="D1060" t="s">
        <v>18</v>
      </c>
      <c r="E1060" t="s">
        <v>35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0.75</v>
      </c>
    </row>
    <row r="1061" spans="1:11" x14ac:dyDescent="0.2">
      <c r="A1061" t="s">
        <v>11</v>
      </c>
      <c r="B1061">
        <v>92</v>
      </c>
      <c r="C1061" t="s">
        <v>20</v>
      </c>
      <c r="D1061" t="s">
        <v>13</v>
      </c>
      <c r="E1061" t="s">
        <v>37</v>
      </c>
      <c r="F1061">
        <v>0</v>
      </c>
      <c r="G1061">
        <v>0</v>
      </c>
      <c r="H1061">
        <v>0</v>
      </c>
      <c r="I1061">
        <v>3</v>
      </c>
      <c r="J1061">
        <v>3</v>
      </c>
      <c r="K1061">
        <v>0.3</v>
      </c>
    </row>
    <row r="1062" spans="1:11" x14ac:dyDescent="0.2">
      <c r="A1062" t="s">
        <v>11</v>
      </c>
      <c r="B1062">
        <v>92</v>
      </c>
      <c r="C1062" t="s">
        <v>15</v>
      </c>
      <c r="D1062" t="s">
        <v>13</v>
      </c>
      <c r="E1062" t="s">
        <v>81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</row>
    <row r="1063" spans="1:11" x14ac:dyDescent="0.2">
      <c r="A1063" t="s">
        <v>11</v>
      </c>
      <c r="B1063">
        <v>92</v>
      </c>
      <c r="C1063" t="s">
        <v>22</v>
      </c>
      <c r="D1063" t="s">
        <v>13</v>
      </c>
      <c r="E1063" t="s">
        <v>81</v>
      </c>
      <c r="F1063">
        <v>1</v>
      </c>
      <c r="G1063">
        <v>0</v>
      </c>
      <c r="H1063">
        <v>0</v>
      </c>
      <c r="I1063">
        <v>0</v>
      </c>
      <c r="J1063">
        <v>1</v>
      </c>
      <c r="K1063">
        <v>1</v>
      </c>
    </row>
    <row r="1064" spans="1:11" x14ac:dyDescent="0.2">
      <c r="A1064" t="s">
        <v>11</v>
      </c>
      <c r="B1064">
        <v>92</v>
      </c>
      <c r="C1064" t="s">
        <v>17</v>
      </c>
      <c r="D1064" t="s">
        <v>18</v>
      </c>
      <c r="E1064" t="s">
        <v>93</v>
      </c>
      <c r="F1064">
        <v>0</v>
      </c>
      <c r="G1064">
        <v>0</v>
      </c>
      <c r="H1064">
        <v>9</v>
      </c>
      <c r="I1064">
        <v>2</v>
      </c>
      <c r="J1064">
        <v>11</v>
      </c>
      <c r="K1064">
        <v>4.7</v>
      </c>
    </row>
    <row r="1065" spans="1:11" x14ac:dyDescent="0.2">
      <c r="A1065" t="s">
        <v>11</v>
      </c>
      <c r="B1065">
        <v>92</v>
      </c>
      <c r="C1065" t="s">
        <v>17</v>
      </c>
      <c r="D1065" t="s">
        <v>13</v>
      </c>
      <c r="E1065" t="s">
        <v>41</v>
      </c>
      <c r="F1065">
        <v>0</v>
      </c>
      <c r="G1065">
        <v>0</v>
      </c>
      <c r="H1065">
        <v>0</v>
      </c>
      <c r="I1065">
        <v>2</v>
      </c>
      <c r="J1065">
        <v>2</v>
      </c>
      <c r="K1065">
        <v>0.2</v>
      </c>
    </row>
    <row r="1066" spans="1:11" x14ac:dyDescent="0.2">
      <c r="A1066" t="s">
        <v>11</v>
      </c>
      <c r="B1066">
        <v>92</v>
      </c>
      <c r="C1066" t="s">
        <v>42</v>
      </c>
      <c r="D1066" t="s">
        <v>28</v>
      </c>
      <c r="E1066" t="s">
        <v>43</v>
      </c>
      <c r="F1066">
        <v>0</v>
      </c>
      <c r="G1066">
        <v>0</v>
      </c>
      <c r="H1066">
        <v>0</v>
      </c>
      <c r="I1066">
        <v>3</v>
      </c>
      <c r="J1066">
        <v>3</v>
      </c>
      <c r="K1066">
        <v>0.3</v>
      </c>
    </row>
    <row r="1067" spans="1:11" x14ac:dyDescent="0.2">
      <c r="A1067" t="s">
        <v>11</v>
      </c>
      <c r="B1067">
        <v>92</v>
      </c>
      <c r="C1067" t="s">
        <v>42</v>
      </c>
      <c r="D1067" t="s">
        <v>13</v>
      </c>
      <c r="E1067" t="s">
        <v>81</v>
      </c>
      <c r="F1067">
        <v>1</v>
      </c>
      <c r="G1067">
        <v>0</v>
      </c>
      <c r="H1067">
        <v>0</v>
      </c>
      <c r="I1067">
        <v>0</v>
      </c>
      <c r="J1067">
        <v>1</v>
      </c>
      <c r="K1067">
        <v>1</v>
      </c>
    </row>
    <row r="1068" spans="1:11" x14ac:dyDescent="0.2">
      <c r="A1068" t="s">
        <v>11</v>
      </c>
      <c r="B1068">
        <v>92</v>
      </c>
      <c r="C1068" t="s">
        <v>42</v>
      </c>
      <c r="D1068" t="s">
        <v>13</v>
      </c>
      <c r="E1068" t="s">
        <v>35</v>
      </c>
      <c r="F1068">
        <v>0</v>
      </c>
      <c r="G1068">
        <v>1</v>
      </c>
      <c r="H1068">
        <v>0</v>
      </c>
      <c r="I1068">
        <v>0</v>
      </c>
      <c r="J1068">
        <v>1</v>
      </c>
      <c r="K1068">
        <v>0.75</v>
      </c>
    </row>
    <row r="1069" spans="1:11" x14ac:dyDescent="0.2">
      <c r="A1069" t="s">
        <v>11</v>
      </c>
      <c r="B1069">
        <v>92</v>
      </c>
      <c r="C1069" t="s">
        <v>42</v>
      </c>
      <c r="D1069" t="s">
        <v>18</v>
      </c>
      <c r="E1069" t="s">
        <v>44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0.75</v>
      </c>
    </row>
    <row r="1070" spans="1:11" x14ac:dyDescent="0.2">
      <c r="A1070" t="s">
        <v>11</v>
      </c>
      <c r="B1070">
        <v>92</v>
      </c>
      <c r="C1070" t="s">
        <v>42</v>
      </c>
      <c r="D1070" t="s">
        <v>13</v>
      </c>
      <c r="E1070" t="s">
        <v>120</v>
      </c>
      <c r="F1070">
        <v>0</v>
      </c>
      <c r="G1070">
        <v>0</v>
      </c>
      <c r="H1070">
        <v>1</v>
      </c>
      <c r="I1070">
        <v>0</v>
      </c>
      <c r="J1070">
        <v>1</v>
      </c>
      <c r="K1070">
        <v>0.5</v>
      </c>
    </row>
    <row r="1071" spans="1:11" x14ac:dyDescent="0.2">
      <c r="A1071" t="s">
        <v>11</v>
      </c>
      <c r="B1071">
        <v>92</v>
      </c>
      <c r="C1071" t="s">
        <v>45</v>
      </c>
      <c r="D1071" t="s">
        <v>13</v>
      </c>
      <c r="E1071" t="s">
        <v>27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0.1</v>
      </c>
    </row>
    <row r="1072" spans="1:11" x14ac:dyDescent="0.2">
      <c r="A1072" t="s">
        <v>11</v>
      </c>
      <c r="B1072">
        <v>93</v>
      </c>
      <c r="C1072" t="s">
        <v>20</v>
      </c>
      <c r="D1072" t="s">
        <v>28</v>
      </c>
      <c r="E1072" t="s">
        <v>29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0.75</v>
      </c>
    </row>
    <row r="1073" spans="1:11" x14ac:dyDescent="0.2">
      <c r="A1073" t="s">
        <v>11</v>
      </c>
      <c r="B1073">
        <v>93</v>
      </c>
      <c r="C1073" t="s">
        <v>22</v>
      </c>
      <c r="D1073" t="s">
        <v>13</v>
      </c>
      <c r="E1073" t="s">
        <v>54</v>
      </c>
      <c r="F1073">
        <v>0</v>
      </c>
      <c r="G1073">
        <v>0</v>
      </c>
      <c r="H1073">
        <v>0</v>
      </c>
      <c r="I1073">
        <v>8</v>
      </c>
      <c r="J1073">
        <v>8</v>
      </c>
      <c r="K1073">
        <v>0.8</v>
      </c>
    </row>
    <row r="1074" spans="1:11" x14ac:dyDescent="0.2">
      <c r="A1074" t="s">
        <v>11</v>
      </c>
      <c r="B1074">
        <v>93</v>
      </c>
      <c r="C1074" t="s">
        <v>22</v>
      </c>
      <c r="D1074" t="s">
        <v>13</v>
      </c>
      <c r="E1074" t="s">
        <v>55</v>
      </c>
      <c r="F1074">
        <v>1</v>
      </c>
      <c r="G1074">
        <v>0</v>
      </c>
      <c r="H1074">
        <v>0</v>
      </c>
      <c r="I1074">
        <v>0</v>
      </c>
      <c r="J1074">
        <v>1</v>
      </c>
      <c r="K1074">
        <v>1</v>
      </c>
    </row>
    <row r="1075" spans="1:11" x14ac:dyDescent="0.2">
      <c r="A1075" t="s">
        <v>11</v>
      </c>
      <c r="B1075">
        <v>93</v>
      </c>
      <c r="C1075" t="s">
        <v>22</v>
      </c>
      <c r="D1075" t="s">
        <v>13</v>
      </c>
      <c r="E1075" t="s">
        <v>122</v>
      </c>
      <c r="F1075">
        <v>0</v>
      </c>
      <c r="G1075">
        <v>0</v>
      </c>
      <c r="H1075">
        <v>2</v>
      </c>
      <c r="I1075">
        <v>0</v>
      </c>
      <c r="J1075">
        <v>2</v>
      </c>
      <c r="K1075">
        <v>1</v>
      </c>
    </row>
    <row r="1076" spans="1:11" x14ac:dyDescent="0.2">
      <c r="A1076" t="s">
        <v>11</v>
      </c>
      <c r="B1076">
        <v>93</v>
      </c>
      <c r="C1076" t="s">
        <v>22</v>
      </c>
      <c r="D1076" t="s">
        <v>18</v>
      </c>
      <c r="E1076" t="s">
        <v>63</v>
      </c>
      <c r="F1076">
        <v>0</v>
      </c>
      <c r="G1076">
        <v>3</v>
      </c>
      <c r="H1076">
        <v>1</v>
      </c>
      <c r="I1076">
        <v>0</v>
      </c>
      <c r="J1076">
        <v>4</v>
      </c>
      <c r="K1076">
        <v>2.75</v>
      </c>
    </row>
    <row r="1077" spans="1:11" x14ac:dyDescent="0.2">
      <c r="A1077" t="s">
        <v>11</v>
      </c>
      <c r="B1077">
        <v>93</v>
      </c>
      <c r="C1077" t="s">
        <v>17</v>
      </c>
      <c r="D1077" t="s">
        <v>18</v>
      </c>
      <c r="E1077" t="s">
        <v>82</v>
      </c>
      <c r="F1077">
        <v>0</v>
      </c>
      <c r="G1077">
        <v>0</v>
      </c>
      <c r="H1077">
        <v>4</v>
      </c>
      <c r="I1077">
        <v>2</v>
      </c>
      <c r="J1077">
        <v>6</v>
      </c>
      <c r="K1077">
        <v>2.2000000000000002</v>
      </c>
    </row>
    <row r="1078" spans="1:11" x14ac:dyDescent="0.2">
      <c r="A1078" t="s">
        <v>11</v>
      </c>
      <c r="B1078">
        <v>93</v>
      </c>
      <c r="C1078" t="s">
        <v>42</v>
      </c>
      <c r="D1078" t="s">
        <v>13</v>
      </c>
      <c r="E1078" t="s">
        <v>64</v>
      </c>
      <c r="F1078">
        <v>3</v>
      </c>
      <c r="G1078">
        <v>0</v>
      </c>
      <c r="H1078">
        <v>0</v>
      </c>
      <c r="I1078">
        <v>1</v>
      </c>
      <c r="J1078">
        <v>4</v>
      </c>
      <c r="K1078">
        <v>3.1</v>
      </c>
    </row>
    <row r="1079" spans="1:11" x14ac:dyDescent="0.2">
      <c r="A1079" t="s">
        <v>11</v>
      </c>
      <c r="B1079">
        <v>94</v>
      </c>
      <c r="C1079" t="s">
        <v>20</v>
      </c>
      <c r="D1079" t="s">
        <v>13</v>
      </c>
      <c r="E1079" t="s">
        <v>33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0.75</v>
      </c>
    </row>
    <row r="1080" spans="1:11" x14ac:dyDescent="0.2">
      <c r="A1080" t="s">
        <v>11</v>
      </c>
      <c r="B1080">
        <v>94</v>
      </c>
      <c r="C1080" t="s">
        <v>20</v>
      </c>
      <c r="D1080" t="s">
        <v>13</v>
      </c>
      <c r="E1080" t="s">
        <v>37</v>
      </c>
      <c r="F1080">
        <v>0</v>
      </c>
      <c r="G1080">
        <v>0</v>
      </c>
      <c r="H1080">
        <v>0</v>
      </c>
      <c r="I1080">
        <v>2</v>
      </c>
      <c r="J1080">
        <v>2</v>
      </c>
      <c r="K1080">
        <v>0.2</v>
      </c>
    </row>
    <row r="1081" spans="1:11" x14ac:dyDescent="0.2">
      <c r="A1081" t="s">
        <v>11</v>
      </c>
      <c r="B1081">
        <v>94</v>
      </c>
      <c r="C1081" t="s">
        <v>12</v>
      </c>
      <c r="D1081" t="s">
        <v>13</v>
      </c>
      <c r="E1081" t="s">
        <v>133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0.5</v>
      </c>
    </row>
    <row r="1082" spans="1:11" x14ac:dyDescent="0.2">
      <c r="A1082" t="s">
        <v>11</v>
      </c>
      <c r="B1082">
        <v>94</v>
      </c>
      <c r="C1082" t="s">
        <v>22</v>
      </c>
      <c r="D1082" t="s">
        <v>13</v>
      </c>
      <c r="E1082" t="s">
        <v>55</v>
      </c>
      <c r="F1082">
        <v>1</v>
      </c>
      <c r="G1082">
        <v>0</v>
      </c>
      <c r="H1082">
        <v>0</v>
      </c>
      <c r="I1082">
        <v>0</v>
      </c>
      <c r="J1082">
        <v>1</v>
      </c>
      <c r="K1082">
        <v>1</v>
      </c>
    </row>
    <row r="1083" spans="1:11" x14ac:dyDescent="0.2">
      <c r="A1083" t="s">
        <v>11</v>
      </c>
      <c r="B1083">
        <v>94</v>
      </c>
      <c r="C1083" t="s">
        <v>42</v>
      </c>
      <c r="D1083" t="s">
        <v>28</v>
      </c>
      <c r="E1083" t="s">
        <v>43</v>
      </c>
      <c r="F1083">
        <v>0</v>
      </c>
      <c r="G1083">
        <v>0</v>
      </c>
      <c r="H1083">
        <v>2</v>
      </c>
      <c r="I1083">
        <v>0</v>
      </c>
      <c r="J1083">
        <v>2</v>
      </c>
      <c r="K1083">
        <v>1.2</v>
      </c>
    </row>
    <row r="1084" spans="1:11" x14ac:dyDescent="0.2">
      <c r="A1084" t="s">
        <v>11</v>
      </c>
      <c r="B1084">
        <v>94</v>
      </c>
      <c r="C1084" t="s">
        <v>45</v>
      </c>
      <c r="D1084" t="s">
        <v>13</v>
      </c>
      <c r="E1084" t="s">
        <v>77</v>
      </c>
      <c r="F1084">
        <v>0</v>
      </c>
      <c r="G1084">
        <v>1</v>
      </c>
      <c r="H1084">
        <v>0</v>
      </c>
      <c r="I1084">
        <v>0</v>
      </c>
      <c r="J1084">
        <v>1</v>
      </c>
      <c r="K1084">
        <v>0.75</v>
      </c>
    </row>
    <row r="1085" spans="1:11" x14ac:dyDescent="0.2">
      <c r="A1085" t="s">
        <v>11</v>
      </c>
      <c r="B1085">
        <v>95</v>
      </c>
      <c r="C1085" t="s">
        <v>20</v>
      </c>
      <c r="D1085" t="s">
        <v>18</v>
      </c>
      <c r="E1085" t="s">
        <v>57</v>
      </c>
      <c r="F1085">
        <v>0</v>
      </c>
      <c r="G1085">
        <v>0</v>
      </c>
      <c r="H1085">
        <v>0</v>
      </c>
      <c r="I1085">
        <v>1</v>
      </c>
      <c r="J1085">
        <v>1</v>
      </c>
      <c r="K1085">
        <v>0.1</v>
      </c>
    </row>
    <row r="1086" spans="1:11" x14ac:dyDescent="0.2">
      <c r="A1086" t="s">
        <v>11</v>
      </c>
      <c r="B1086">
        <v>95</v>
      </c>
      <c r="C1086" t="s">
        <v>20</v>
      </c>
      <c r="D1086" t="s">
        <v>13</v>
      </c>
      <c r="E1086" t="s">
        <v>81</v>
      </c>
      <c r="F1086">
        <v>2</v>
      </c>
      <c r="G1086">
        <v>0</v>
      </c>
      <c r="H1086">
        <v>0</v>
      </c>
      <c r="I1086">
        <v>1</v>
      </c>
      <c r="J1086">
        <v>3</v>
      </c>
      <c r="K1086">
        <v>2.1</v>
      </c>
    </row>
    <row r="1087" spans="1:11" x14ac:dyDescent="0.2">
      <c r="A1087" t="s">
        <v>11</v>
      </c>
      <c r="B1087">
        <v>95</v>
      </c>
      <c r="C1087" t="s">
        <v>20</v>
      </c>
      <c r="D1087" t="s">
        <v>28</v>
      </c>
      <c r="E1087" t="s">
        <v>113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0.5</v>
      </c>
    </row>
    <row r="1088" spans="1:11" x14ac:dyDescent="0.2">
      <c r="A1088" t="s">
        <v>11</v>
      </c>
      <c r="B1088">
        <v>95</v>
      </c>
      <c r="C1088" t="s">
        <v>20</v>
      </c>
      <c r="D1088" t="s">
        <v>13</v>
      </c>
      <c r="E1088" t="s">
        <v>37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0.1</v>
      </c>
    </row>
    <row r="1089" spans="1:11" x14ac:dyDescent="0.2">
      <c r="A1089" t="s">
        <v>11</v>
      </c>
      <c r="B1089">
        <v>95</v>
      </c>
      <c r="C1089" t="s">
        <v>12</v>
      </c>
      <c r="D1089" t="s">
        <v>13</v>
      </c>
      <c r="E1089" t="s">
        <v>14</v>
      </c>
      <c r="F1089">
        <v>1</v>
      </c>
      <c r="G1089">
        <v>0</v>
      </c>
      <c r="H1089">
        <v>0</v>
      </c>
      <c r="I1089">
        <v>0</v>
      </c>
      <c r="J1089">
        <v>1</v>
      </c>
      <c r="K1089">
        <v>1</v>
      </c>
    </row>
    <row r="1090" spans="1:11" x14ac:dyDescent="0.2">
      <c r="A1090" t="s">
        <v>11</v>
      </c>
      <c r="B1090">
        <v>95</v>
      </c>
      <c r="C1090" t="s">
        <v>15</v>
      </c>
      <c r="D1090" t="s">
        <v>28</v>
      </c>
      <c r="E1090" t="s">
        <v>57</v>
      </c>
      <c r="F1090">
        <v>0</v>
      </c>
      <c r="G1090">
        <v>0</v>
      </c>
      <c r="H1090">
        <v>0</v>
      </c>
      <c r="I1090">
        <v>1</v>
      </c>
      <c r="J1090">
        <v>1</v>
      </c>
      <c r="K1090">
        <v>0.1</v>
      </c>
    </row>
    <row r="1091" spans="1:11" x14ac:dyDescent="0.2">
      <c r="A1091" t="s">
        <v>11</v>
      </c>
      <c r="B1091">
        <v>95</v>
      </c>
      <c r="C1091" t="s">
        <v>15</v>
      </c>
      <c r="D1091" t="s">
        <v>13</v>
      </c>
      <c r="E1091" t="s">
        <v>81</v>
      </c>
      <c r="F1091">
        <v>2</v>
      </c>
      <c r="G1091">
        <v>0</v>
      </c>
      <c r="H1091">
        <v>0</v>
      </c>
      <c r="I1091">
        <v>1</v>
      </c>
      <c r="J1091">
        <v>3</v>
      </c>
      <c r="K1091">
        <v>2.1</v>
      </c>
    </row>
    <row r="1092" spans="1:11" x14ac:dyDescent="0.2">
      <c r="A1092" t="s">
        <v>11</v>
      </c>
      <c r="B1092">
        <v>95</v>
      </c>
      <c r="C1092" t="s">
        <v>15</v>
      </c>
      <c r="D1092" t="s">
        <v>18</v>
      </c>
      <c r="E1092" t="s">
        <v>113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0.5</v>
      </c>
    </row>
    <row r="1093" spans="1:11" x14ac:dyDescent="0.2">
      <c r="A1093" t="s">
        <v>11</v>
      </c>
      <c r="B1093">
        <v>95</v>
      </c>
      <c r="C1093" t="s">
        <v>22</v>
      </c>
      <c r="D1093" t="s">
        <v>13</v>
      </c>
      <c r="E1093" t="s">
        <v>81</v>
      </c>
      <c r="F1093">
        <v>2</v>
      </c>
      <c r="G1093">
        <v>0</v>
      </c>
      <c r="H1093">
        <v>0</v>
      </c>
      <c r="I1093">
        <v>1</v>
      </c>
      <c r="J1093">
        <v>3</v>
      </c>
      <c r="K1093">
        <v>2.1</v>
      </c>
    </row>
    <row r="1094" spans="1:11" x14ac:dyDescent="0.2">
      <c r="A1094" t="s">
        <v>11</v>
      </c>
      <c r="B1094">
        <v>95</v>
      </c>
      <c r="C1094" t="s">
        <v>42</v>
      </c>
      <c r="D1094" t="s">
        <v>28</v>
      </c>
      <c r="E1094" t="s">
        <v>43</v>
      </c>
      <c r="F1094">
        <v>0</v>
      </c>
      <c r="G1094">
        <v>0</v>
      </c>
      <c r="H1094">
        <v>0</v>
      </c>
      <c r="I1094">
        <v>1</v>
      </c>
      <c r="J1094">
        <v>1</v>
      </c>
      <c r="K1094">
        <v>0.1</v>
      </c>
    </row>
    <row r="1095" spans="1:11" x14ac:dyDescent="0.2">
      <c r="A1095" t="s">
        <v>11</v>
      </c>
      <c r="B1095">
        <v>95</v>
      </c>
      <c r="C1095" t="s">
        <v>42</v>
      </c>
      <c r="D1095" t="s">
        <v>13</v>
      </c>
      <c r="E1095" t="s">
        <v>81</v>
      </c>
      <c r="F1095">
        <v>2</v>
      </c>
      <c r="G1095">
        <v>0</v>
      </c>
      <c r="H1095">
        <v>0</v>
      </c>
      <c r="I1095">
        <v>1</v>
      </c>
      <c r="J1095">
        <v>3</v>
      </c>
      <c r="K1095">
        <v>2.1</v>
      </c>
    </row>
    <row r="1096" spans="1:11" x14ac:dyDescent="0.2">
      <c r="A1096" t="s">
        <v>11</v>
      </c>
      <c r="B1096">
        <v>95</v>
      </c>
      <c r="C1096" t="s">
        <v>42</v>
      </c>
      <c r="D1096" t="s">
        <v>18</v>
      </c>
      <c r="E1096" t="s">
        <v>113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0.5</v>
      </c>
    </row>
    <row r="1097" spans="1:11" x14ac:dyDescent="0.2">
      <c r="A1097" t="s">
        <v>11</v>
      </c>
      <c r="B1097">
        <v>96</v>
      </c>
      <c r="C1097" t="s">
        <v>20</v>
      </c>
      <c r="D1097" t="s">
        <v>28</v>
      </c>
      <c r="E1097" t="s">
        <v>29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0.5</v>
      </c>
    </row>
    <row r="1098" spans="1:11" x14ac:dyDescent="0.2">
      <c r="A1098" t="s">
        <v>11</v>
      </c>
      <c r="B1098">
        <v>96</v>
      </c>
      <c r="C1098" t="s">
        <v>20</v>
      </c>
      <c r="D1098" t="s">
        <v>13</v>
      </c>
      <c r="E1098" t="s">
        <v>89</v>
      </c>
      <c r="F1098">
        <v>2</v>
      </c>
      <c r="G1098">
        <v>0</v>
      </c>
      <c r="H1098">
        <v>0</v>
      </c>
      <c r="I1098">
        <v>0</v>
      </c>
      <c r="J1098">
        <v>2</v>
      </c>
      <c r="K1098">
        <v>2</v>
      </c>
    </row>
    <row r="1099" spans="1:11" x14ac:dyDescent="0.2">
      <c r="A1099" t="s">
        <v>11</v>
      </c>
      <c r="B1099">
        <v>96</v>
      </c>
      <c r="C1099" t="s">
        <v>20</v>
      </c>
      <c r="D1099" t="s">
        <v>28</v>
      </c>
      <c r="E1099" t="s">
        <v>53</v>
      </c>
      <c r="F1099">
        <v>0</v>
      </c>
      <c r="G1099">
        <v>0</v>
      </c>
      <c r="H1099">
        <v>1</v>
      </c>
      <c r="I1099">
        <v>0</v>
      </c>
      <c r="J1099">
        <v>1</v>
      </c>
      <c r="K1099">
        <v>0.5</v>
      </c>
    </row>
    <row r="1100" spans="1:11" x14ac:dyDescent="0.2">
      <c r="A1100" t="s">
        <v>11</v>
      </c>
      <c r="B1100">
        <v>96</v>
      </c>
      <c r="C1100" t="s">
        <v>12</v>
      </c>
      <c r="D1100" t="s">
        <v>13</v>
      </c>
      <c r="E1100" t="s">
        <v>14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0.5</v>
      </c>
    </row>
    <row r="1101" spans="1:11" x14ac:dyDescent="0.2">
      <c r="A1101" t="s">
        <v>11</v>
      </c>
      <c r="B1101">
        <v>96</v>
      </c>
      <c r="C1101" t="s">
        <v>22</v>
      </c>
      <c r="D1101" t="s">
        <v>13</v>
      </c>
      <c r="E1101" t="s">
        <v>55</v>
      </c>
      <c r="F1101">
        <v>1</v>
      </c>
      <c r="G1101">
        <v>0</v>
      </c>
      <c r="H1101">
        <v>0</v>
      </c>
      <c r="I1101">
        <v>0</v>
      </c>
      <c r="J1101">
        <v>1</v>
      </c>
      <c r="K1101">
        <v>1</v>
      </c>
    </row>
    <row r="1102" spans="1:11" x14ac:dyDescent="0.2">
      <c r="A1102" t="s">
        <v>11</v>
      </c>
      <c r="B1102">
        <v>97</v>
      </c>
      <c r="C1102" t="s">
        <v>20</v>
      </c>
      <c r="D1102" t="s">
        <v>28</v>
      </c>
      <c r="E1102" t="s">
        <v>29</v>
      </c>
      <c r="F1102">
        <v>2</v>
      </c>
      <c r="G1102">
        <v>1</v>
      </c>
      <c r="H1102">
        <v>1</v>
      </c>
      <c r="I1102">
        <v>0</v>
      </c>
      <c r="J1102">
        <v>4</v>
      </c>
      <c r="K1102">
        <v>3.25</v>
      </c>
    </row>
    <row r="1103" spans="1:11" x14ac:dyDescent="0.2">
      <c r="A1103" t="s">
        <v>11</v>
      </c>
      <c r="B1103">
        <v>97</v>
      </c>
      <c r="C1103" t="s">
        <v>20</v>
      </c>
      <c r="D1103" t="s">
        <v>13</v>
      </c>
      <c r="E1103" t="s">
        <v>33</v>
      </c>
      <c r="F1103">
        <v>0</v>
      </c>
      <c r="G1103">
        <v>1</v>
      </c>
      <c r="H1103">
        <v>0</v>
      </c>
      <c r="I1103">
        <v>0</v>
      </c>
      <c r="J1103">
        <v>1</v>
      </c>
      <c r="K1103">
        <v>0.75</v>
      </c>
    </row>
    <row r="1104" spans="1:11" x14ac:dyDescent="0.2">
      <c r="A1104" t="s">
        <v>11</v>
      </c>
      <c r="B1104">
        <v>97</v>
      </c>
      <c r="C1104" t="s">
        <v>20</v>
      </c>
      <c r="D1104" t="s">
        <v>28</v>
      </c>
      <c r="E1104" t="s">
        <v>53</v>
      </c>
      <c r="F1104">
        <v>0</v>
      </c>
      <c r="G1104">
        <v>0</v>
      </c>
      <c r="H1104">
        <v>2</v>
      </c>
      <c r="I1104">
        <v>0</v>
      </c>
      <c r="J1104">
        <v>2</v>
      </c>
      <c r="K1104">
        <v>1</v>
      </c>
    </row>
    <row r="1105" spans="1:11" x14ac:dyDescent="0.2">
      <c r="A1105" t="s">
        <v>11</v>
      </c>
      <c r="B1105">
        <v>97</v>
      </c>
      <c r="C1105" t="s">
        <v>20</v>
      </c>
      <c r="D1105" t="s">
        <v>13</v>
      </c>
      <c r="E1105" t="s">
        <v>36</v>
      </c>
      <c r="F1105">
        <v>0</v>
      </c>
      <c r="G1105">
        <v>0</v>
      </c>
      <c r="H1105">
        <v>0</v>
      </c>
      <c r="I1105">
        <v>1</v>
      </c>
      <c r="J1105">
        <v>1</v>
      </c>
      <c r="K1105">
        <v>0.1</v>
      </c>
    </row>
    <row r="1106" spans="1:11" x14ac:dyDescent="0.2">
      <c r="A1106" t="s">
        <v>11</v>
      </c>
      <c r="B1106">
        <v>97</v>
      </c>
      <c r="C1106" t="s">
        <v>12</v>
      </c>
      <c r="D1106" t="s">
        <v>13</v>
      </c>
      <c r="E1106" t="s">
        <v>58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0.1</v>
      </c>
    </row>
    <row r="1107" spans="1:11" x14ac:dyDescent="0.2">
      <c r="A1107" t="s">
        <v>11</v>
      </c>
      <c r="B1107">
        <v>97</v>
      </c>
      <c r="C1107" t="s">
        <v>22</v>
      </c>
      <c r="D1107" t="s">
        <v>18</v>
      </c>
      <c r="E1107" t="s">
        <v>63</v>
      </c>
      <c r="F1107">
        <v>0</v>
      </c>
      <c r="G1107">
        <v>1</v>
      </c>
      <c r="H1107">
        <v>0</v>
      </c>
      <c r="I1107">
        <v>0</v>
      </c>
      <c r="J1107">
        <v>1</v>
      </c>
      <c r="K1107">
        <v>0.75</v>
      </c>
    </row>
    <row r="1108" spans="1:11" x14ac:dyDescent="0.2">
      <c r="A1108" t="s">
        <v>11</v>
      </c>
      <c r="B1108">
        <v>97</v>
      </c>
      <c r="C1108" t="s">
        <v>42</v>
      </c>
      <c r="D1108" t="s">
        <v>13</v>
      </c>
      <c r="E1108" t="s">
        <v>64</v>
      </c>
      <c r="F1108">
        <v>1</v>
      </c>
      <c r="G1108">
        <v>0</v>
      </c>
      <c r="H1108">
        <v>0</v>
      </c>
      <c r="I1108">
        <v>0</v>
      </c>
      <c r="J1108">
        <v>1</v>
      </c>
      <c r="K1108">
        <v>1</v>
      </c>
    </row>
    <row r="1109" spans="1:11" x14ac:dyDescent="0.2">
      <c r="A1109" t="s">
        <v>11</v>
      </c>
      <c r="B1109">
        <v>97</v>
      </c>
      <c r="C1109" t="s">
        <v>45</v>
      </c>
      <c r="D1109" t="s">
        <v>13</v>
      </c>
      <c r="E1109" t="s">
        <v>47</v>
      </c>
      <c r="F1109">
        <v>0</v>
      </c>
      <c r="G1109">
        <v>0</v>
      </c>
      <c r="H1109">
        <v>1</v>
      </c>
      <c r="I1109">
        <v>0</v>
      </c>
      <c r="J1109">
        <v>1</v>
      </c>
      <c r="K1109">
        <v>0.5</v>
      </c>
    </row>
    <row r="1110" spans="1:11" x14ac:dyDescent="0.2">
      <c r="A1110" t="s">
        <v>11</v>
      </c>
      <c r="B1110">
        <v>97</v>
      </c>
      <c r="C1110" t="s">
        <v>45</v>
      </c>
      <c r="D1110" t="s">
        <v>18</v>
      </c>
      <c r="E1110" t="s">
        <v>48</v>
      </c>
      <c r="F1110">
        <v>0</v>
      </c>
      <c r="G1110">
        <v>0</v>
      </c>
      <c r="H1110">
        <v>1</v>
      </c>
      <c r="I1110">
        <v>0</v>
      </c>
      <c r="J1110">
        <v>1</v>
      </c>
      <c r="K1110">
        <v>0.5</v>
      </c>
    </row>
    <row r="1111" spans="1:11" x14ac:dyDescent="0.2">
      <c r="A1111" t="s">
        <v>11</v>
      </c>
      <c r="B1111">
        <v>97</v>
      </c>
      <c r="C1111" t="s">
        <v>45</v>
      </c>
      <c r="D1111" t="s">
        <v>28</v>
      </c>
      <c r="E1111" t="s">
        <v>48</v>
      </c>
      <c r="F1111">
        <v>0</v>
      </c>
      <c r="G1111">
        <v>0</v>
      </c>
      <c r="H1111">
        <v>1</v>
      </c>
      <c r="I1111">
        <v>0</v>
      </c>
      <c r="J1111">
        <v>1</v>
      </c>
      <c r="K1111">
        <v>0.5</v>
      </c>
    </row>
    <row r="1112" spans="1:11" x14ac:dyDescent="0.2">
      <c r="A1112" t="s">
        <v>11</v>
      </c>
      <c r="B1112">
        <v>97</v>
      </c>
      <c r="C1112" t="s">
        <v>45</v>
      </c>
      <c r="D1112" t="s">
        <v>13</v>
      </c>
      <c r="E1112" t="s">
        <v>79</v>
      </c>
      <c r="F1112">
        <v>0</v>
      </c>
      <c r="G1112">
        <v>0</v>
      </c>
      <c r="H1112">
        <v>1</v>
      </c>
      <c r="I1112">
        <v>0</v>
      </c>
      <c r="J1112">
        <v>1</v>
      </c>
      <c r="K1112">
        <v>0.5</v>
      </c>
    </row>
    <row r="1113" spans="1:11" x14ac:dyDescent="0.2">
      <c r="A1113" t="s">
        <v>11</v>
      </c>
      <c r="B1113">
        <v>98</v>
      </c>
      <c r="C1113" t="s">
        <v>20</v>
      </c>
      <c r="D1113" t="s">
        <v>28</v>
      </c>
      <c r="E1113" t="s">
        <v>29</v>
      </c>
      <c r="F1113">
        <v>1</v>
      </c>
      <c r="G1113">
        <v>0</v>
      </c>
      <c r="H1113">
        <v>1</v>
      </c>
      <c r="I1113">
        <v>0</v>
      </c>
      <c r="J1113">
        <v>2</v>
      </c>
      <c r="K1113">
        <v>1.5</v>
      </c>
    </row>
    <row r="1114" spans="1:11" x14ac:dyDescent="0.2">
      <c r="A1114" t="s">
        <v>11</v>
      </c>
      <c r="B1114">
        <v>98</v>
      </c>
      <c r="C1114" t="s">
        <v>20</v>
      </c>
      <c r="D1114" t="s">
        <v>13</v>
      </c>
      <c r="E1114" t="s">
        <v>33</v>
      </c>
      <c r="F1114">
        <v>0</v>
      </c>
      <c r="G1114">
        <v>15</v>
      </c>
      <c r="H1114">
        <v>0</v>
      </c>
      <c r="I1114">
        <v>0</v>
      </c>
      <c r="J1114">
        <v>15</v>
      </c>
      <c r="K1114">
        <v>11.25</v>
      </c>
    </row>
    <row r="1115" spans="1:11" x14ac:dyDescent="0.2">
      <c r="A1115" t="s">
        <v>11</v>
      </c>
      <c r="B1115">
        <v>98</v>
      </c>
      <c r="C1115" t="s">
        <v>20</v>
      </c>
      <c r="D1115" t="s">
        <v>28</v>
      </c>
      <c r="E1115" t="s">
        <v>53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0.5</v>
      </c>
    </row>
    <row r="1116" spans="1:11" x14ac:dyDescent="0.2">
      <c r="A1116" t="s">
        <v>11</v>
      </c>
      <c r="B1116">
        <v>98</v>
      </c>
      <c r="C1116" t="s">
        <v>20</v>
      </c>
      <c r="D1116" t="s">
        <v>13</v>
      </c>
      <c r="E1116" t="s">
        <v>36</v>
      </c>
      <c r="F1116">
        <v>0</v>
      </c>
      <c r="G1116">
        <v>0</v>
      </c>
      <c r="H1116">
        <v>0</v>
      </c>
      <c r="I1116">
        <v>1</v>
      </c>
      <c r="J1116">
        <v>1</v>
      </c>
      <c r="K1116">
        <v>0.1</v>
      </c>
    </row>
    <row r="1117" spans="1:11" x14ac:dyDescent="0.2">
      <c r="A1117" t="s">
        <v>11</v>
      </c>
      <c r="B1117">
        <v>98</v>
      </c>
      <c r="C1117" t="s">
        <v>20</v>
      </c>
      <c r="D1117" t="s">
        <v>13</v>
      </c>
      <c r="E1117" t="s">
        <v>37</v>
      </c>
      <c r="F1117">
        <v>0</v>
      </c>
      <c r="G1117">
        <v>0</v>
      </c>
      <c r="H1117">
        <v>0</v>
      </c>
      <c r="I1117">
        <v>1</v>
      </c>
      <c r="J1117">
        <v>1</v>
      </c>
      <c r="K1117">
        <v>0.1</v>
      </c>
    </row>
    <row r="1118" spans="1:11" x14ac:dyDescent="0.2">
      <c r="A1118" t="s">
        <v>11</v>
      </c>
      <c r="B1118">
        <v>98</v>
      </c>
      <c r="C1118" t="s">
        <v>12</v>
      </c>
      <c r="D1118" t="s">
        <v>13</v>
      </c>
      <c r="E1118" t="s">
        <v>65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0.1</v>
      </c>
    </row>
    <row r="1119" spans="1:11" x14ac:dyDescent="0.2">
      <c r="A1119" t="s">
        <v>11</v>
      </c>
      <c r="B1119">
        <v>98</v>
      </c>
      <c r="C1119" t="s">
        <v>12</v>
      </c>
      <c r="D1119" t="s">
        <v>13</v>
      </c>
      <c r="E1119" t="s">
        <v>58</v>
      </c>
      <c r="F1119">
        <v>0</v>
      </c>
      <c r="G1119">
        <v>0</v>
      </c>
      <c r="H1119">
        <v>0</v>
      </c>
      <c r="I1119">
        <v>1</v>
      </c>
      <c r="J1119">
        <v>1</v>
      </c>
      <c r="K1119">
        <v>0.1</v>
      </c>
    </row>
    <row r="1120" spans="1:11" x14ac:dyDescent="0.2">
      <c r="A1120" t="s">
        <v>11</v>
      </c>
      <c r="B1120">
        <v>98</v>
      </c>
      <c r="C1120" t="s">
        <v>22</v>
      </c>
      <c r="D1120" t="s">
        <v>13</v>
      </c>
      <c r="E1120" t="s">
        <v>65</v>
      </c>
      <c r="F1120">
        <v>0</v>
      </c>
      <c r="G1120">
        <v>0</v>
      </c>
      <c r="H1120">
        <v>0</v>
      </c>
      <c r="I1120">
        <v>1</v>
      </c>
      <c r="J1120">
        <v>1</v>
      </c>
      <c r="K1120">
        <v>0.1</v>
      </c>
    </row>
    <row r="1121" spans="1:11" x14ac:dyDescent="0.2">
      <c r="A1121" t="s">
        <v>11</v>
      </c>
      <c r="B1121">
        <v>98</v>
      </c>
      <c r="C1121" t="s">
        <v>17</v>
      </c>
      <c r="D1121" t="s">
        <v>13</v>
      </c>
      <c r="E1121" t="s">
        <v>41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0.1</v>
      </c>
    </row>
    <row r="1122" spans="1:11" x14ac:dyDescent="0.2">
      <c r="A1122" t="s">
        <v>11</v>
      </c>
      <c r="B1122">
        <v>98</v>
      </c>
      <c r="C1122" t="s">
        <v>42</v>
      </c>
      <c r="D1122" t="s">
        <v>28</v>
      </c>
      <c r="E1122" t="s">
        <v>43</v>
      </c>
      <c r="F1122">
        <v>0</v>
      </c>
      <c r="G1122">
        <v>0</v>
      </c>
      <c r="H1122">
        <v>1</v>
      </c>
      <c r="I1122">
        <v>0</v>
      </c>
      <c r="J1122">
        <v>1</v>
      </c>
      <c r="K1122">
        <v>0.6</v>
      </c>
    </row>
    <row r="1123" spans="1:11" x14ac:dyDescent="0.2">
      <c r="A1123" t="s">
        <v>11</v>
      </c>
      <c r="B1123">
        <v>98</v>
      </c>
      <c r="C1123" t="s">
        <v>45</v>
      </c>
      <c r="D1123" t="s">
        <v>13</v>
      </c>
      <c r="E1123" t="s">
        <v>47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1</v>
      </c>
    </row>
    <row r="1124" spans="1:11" x14ac:dyDescent="0.2">
      <c r="A1124" t="s">
        <v>11</v>
      </c>
      <c r="B1124">
        <v>98</v>
      </c>
      <c r="C1124" t="s">
        <v>45</v>
      </c>
      <c r="D1124" t="s">
        <v>18</v>
      </c>
      <c r="E1124" t="s">
        <v>48</v>
      </c>
      <c r="F1124">
        <v>0</v>
      </c>
      <c r="G1124">
        <v>0</v>
      </c>
      <c r="H1124">
        <v>1</v>
      </c>
      <c r="I1124">
        <v>0</v>
      </c>
      <c r="J1124">
        <v>1</v>
      </c>
      <c r="K1124">
        <v>0.5</v>
      </c>
    </row>
    <row r="1125" spans="1:11" x14ac:dyDescent="0.2">
      <c r="A1125" t="s">
        <v>11</v>
      </c>
      <c r="B1125">
        <v>98</v>
      </c>
      <c r="C1125" t="s">
        <v>45</v>
      </c>
      <c r="D1125" t="s">
        <v>28</v>
      </c>
      <c r="E1125" t="s">
        <v>48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0.5</v>
      </c>
    </row>
    <row r="1126" spans="1:11" x14ac:dyDescent="0.2">
      <c r="A1126" t="s">
        <v>11</v>
      </c>
      <c r="B1126">
        <v>98</v>
      </c>
      <c r="C1126" t="s">
        <v>45</v>
      </c>
      <c r="D1126" t="s">
        <v>13</v>
      </c>
      <c r="E1126" t="s">
        <v>79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0.5</v>
      </c>
    </row>
    <row r="1127" spans="1:11" x14ac:dyDescent="0.2">
      <c r="A1127" t="s">
        <v>11</v>
      </c>
      <c r="B1127">
        <v>103</v>
      </c>
      <c r="C1127" t="s">
        <v>20</v>
      </c>
      <c r="D1127" t="s">
        <v>13</v>
      </c>
      <c r="E1127" t="s">
        <v>81</v>
      </c>
      <c r="F1127">
        <v>2</v>
      </c>
      <c r="G1127">
        <v>1</v>
      </c>
      <c r="H1127">
        <v>0</v>
      </c>
      <c r="I1127">
        <v>0</v>
      </c>
      <c r="J1127">
        <v>3</v>
      </c>
      <c r="K1127">
        <v>2.75</v>
      </c>
    </row>
    <row r="1128" spans="1:11" x14ac:dyDescent="0.2">
      <c r="A1128" t="s">
        <v>11</v>
      </c>
      <c r="B1128">
        <v>103</v>
      </c>
      <c r="C1128" t="s">
        <v>12</v>
      </c>
      <c r="D1128" t="s">
        <v>13</v>
      </c>
      <c r="E1128" t="s">
        <v>124</v>
      </c>
      <c r="F1128">
        <v>0</v>
      </c>
      <c r="G1128">
        <v>0</v>
      </c>
      <c r="H1128">
        <v>1</v>
      </c>
      <c r="I1128">
        <v>1</v>
      </c>
      <c r="J1128">
        <v>2</v>
      </c>
      <c r="K1128">
        <v>0.7</v>
      </c>
    </row>
    <row r="1129" spans="1:11" x14ac:dyDescent="0.2">
      <c r="A1129" t="s">
        <v>11</v>
      </c>
      <c r="B1129">
        <v>103</v>
      </c>
      <c r="C1129" t="s">
        <v>12</v>
      </c>
      <c r="D1129" t="s">
        <v>13</v>
      </c>
      <c r="E1129" t="s">
        <v>101</v>
      </c>
      <c r="F1129">
        <v>0</v>
      </c>
      <c r="G1129">
        <v>0</v>
      </c>
      <c r="H1129">
        <v>6</v>
      </c>
      <c r="I1129">
        <v>1</v>
      </c>
      <c r="J1129">
        <v>7</v>
      </c>
      <c r="K1129">
        <v>3.1</v>
      </c>
    </row>
    <row r="1130" spans="1:11" x14ac:dyDescent="0.2">
      <c r="A1130" t="s">
        <v>11</v>
      </c>
      <c r="B1130">
        <v>103</v>
      </c>
      <c r="C1130" t="s">
        <v>15</v>
      </c>
      <c r="D1130" t="s">
        <v>13</v>
      </c>
      <c r="E1130" t="s">
        <v>81</v>
      </c>
      <c r="F1130">
        <v>2</v>
      </c>
      <c r="G1130">
        <v>1</v>
      </c>
      <c r="H1130">
        <v>0</v>
      </c>
      <c r="I1130">
        <v>0</v>
      </c>
      <c r="J1130">
        <v>3</v>
      </c>
      <c r="K1130">
        <v>2.75</v>
      </c>
    </row>
    <row r="1131" spans="1:11" x14ac:dyDescent="0.2">
      <c r="A1131" t="s">
        <v>11</v>
      </c>
      <c r="B1131">
        <v>103</v>
      </c>
      <c r="C1131" t="s">
        <v>22</v>
      </c>
      <c r="D1131" t="s">
        <v>13</v>
      </c>
      <c r="E1131" t="s">
        <v>54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0.1</v>
      </c>
    </row>
    <row r="1132" spans="1:11" x14ac:dyDescent="0.2">
      <c r="A1132" t="s">
        <v>11</v>
      </c>
      <c r="B1132">
        <v>103</v>
      </c>
      <c r="C1132" t="s">
        <v>22</v>
      </c>
      <c r="D1132" t="s">
        <v>13</v>
      </c>
      <c r="E1132" t="s">
        <v>25</v>
      </c>
      <c r="F1132">
        <v>0</v>
      </c>
      <c r="G1132">
        <v>0</v>
      </c>
      <c r="H1132">
        <v>2</v>
      </c>
      <c r="I1132">
        <v>0</v>
      </c>
      <c r="J1132">
        <v>2</v>
      </c>
      <c r="K1132">
        <v>1</v>
      </c>
    </row>
    <row r="1133" spans="1:11" x14ac:dyDescent="0.2">
      <c r="A1133" t="s">
        <v>11</v>
      </c>
      <c r="B1133">
        <v>103</v>
      </c>
      <c r="C1133" t="s">
        <v>22</v>
      </c>
      <c r="D1133" t="s">
        <v>13</v>
      </c>
      <c r="E1133" t="s">
        <v>81</v>
      </c>
      <c r="F1133">
        <v>2</v>
      </c>
      <c r="G1133">
        <v>1</v>
      </c>
      <c r="H1133">
        <v>0</v>
      </c>
      <c r="I1133">
        <v>0</v>
      </c>
      <c r="J1133">
        <v>3</v>
      </c>
      <c r="K1133">
        <v>2.75</v>
      </c>
    </row>
    <row r="1134" spans="1:11" x14ac:dyDescent="0.2">
      <c r="A1134" t="s">
        <v>11</v>
      </c>
      <c r="B1134">
        <v>103</v>
      </c>
      <c r="C1134" t="s">
        <v>17</v>
      </c>
      <c r="D1134" t="s">
        <v>18</v>
      </c>
      <c r="E1134" t="s">
        <v>82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0.1</v>
      </c>
    </row>
    <row r="1135" spans="1:11" x14ac:dyDescent="0.2">
      <c r="A1135" t="s">
        <v>11</v>
      </c>
      <c r="B1135">
        <v>103</v>
      </c>
      <c r="C1135" t="s">
        <v>17</v>
      </c>
      <c r="D1135" t="s">
        <v>13</v>
      </c>
      <c r="E1135" t="s">
        <v>40</v>
      </c>
      <c r="F1135">
        <v>0</v>
      </c>
      <c r="G1135">
        <v>0</v>
      </c>
      <c r="H1135">
        <v>0</v>
      </c>
      <c r="I1135">
        <v>4</v>
      </c>
      <c r="J1135">
        <v>4</v>
      </c>
      <c r="K1135">
        <v>0.4</v>
      </c>
    </row>
    <row r="1136" spans="1:11" x14ac:dyDescent="0.2">
      <c r="A1136" t="s">
        <v>11</v>
      </c>
      <c r="B1136">
        <v>103</v>
      </c>
      <c r="C1136" t="s">
        <v>17</v>
      </c>
      <c r="D1136" t="s">
        <v>18</v>
      </c>
      <c r="E1136" t="s">
        <v>110</v>
      </c>
      <c r="F1136">
        <v>0</v>
      </c>
      <c r="G1136">
        <v>0</v>
      </c>
      <c r="H1136">
        <v>1</v>
      </c>
      <c r="I1136">
        <v>0</v>
      </c>
      <c r="J1136">
        <v>1</v>
      </c>
      <c r="K1136">
        <v>0.5</v>
      </c>
    </row>
    <row r="1137" spans="1:11" x14ac:dyDescent="0.2">
      <c r="A1137" t="s">
        <v>11</v>
      </c>
      <c r="B1137">
        <v>103</v>
      </c>
      <c r="C1137" t="s">
        <v>17</v>
      </c>
      <c r="D1137" t="s">
        <v>13</v>
      </c>
      <c r="E1137" t="s">
        <v>41</v>
      </c>
      <c r="F1137">
        <v>0</v>
      </c>
      <c r="G1137">
        <v>0</v>
      </c>
      <c r="H1137">
        <v>0</v>
      </c>
      <c r="I1137">
        <v>1</v>
      </c>
      <c r="J1137">
        <v>1</v>
      </c>
      <c r="K1137">
        <v>0.1</v>
      </c>
    </row>
    <row r="1138" spans="1:11" x14ac:dyDescent="0.2">
      <c r="A1138" t="s">
        <v>11</v>
      </c>
      <c r="B1138">
        <v>103</v>
      </c>
      <c r="C1138" t="s">
        <v>17</v>
      </c>
      <c r="D1138" t="s">
        <v>13</v>
      </c>
      <c r="E1138" t="s">
        <v>132</v>
      </c>
      <c r="F1138">
        <v>0</v>
      </c>
      <c r="G1138">
        <v>0</v>
      </c>
      <c r="H1138">
        <v>4</v>
      </c>
      <c r="I1138">
        <v>0</v>
      </c>
      <c r="J1138">
        <v>4</v>
      </c>
      <c r="K1138">
        <v>2</v>
      </c>
    </row>
    <row r="1139" spans="1:11" x14ac:dyDescent="0.2">
      <c r="A1139" t="s">
        <v>11</v>
      </c>
      <c r="B1139">
        <v>103</v>
      </c>
      <c r="C1139" t="s">
        <v>42</v>
      </c>
      <c r="D1139" t="s">
        <v>13</v>
      </c>
      <c r="E1139" t="s">
        <v>81</v>
      </c>
      <c r="F1139">
        <v>2</v>
      </c>
      <c r="G1139">
        <v>1</v>
      </c>
      <c r="H1139">
        <v>0</v>
      </c>
      <c r="I1139">
        <v>0</v>
      </c>
      <c r="J1139">
        <v>3</v>
      </c>
      <c r="K1139">
        <v>2.75</v>
      </c>
    </row>
    <row r="1140" spans="1:11" x14ac:dyDescent="0.2">
      <c r="A1140" t="s">
        <v>11</v>
      </c>
      <c r="B1140">
        <v>103</v>
      </c>
      <c r="C1140" t="s">
        <v>42</v>
      </c>
      <c r="D1140" t="s">
        <v>13</v>
      </c>
      <c r="E1140" t="s">
        <v>52</v>
      </c>
      <c r="F1140">
        <v>1</v>
      </c>
      <c r="G1140">
        <v>0</v>
      </c>
      <c r="H1140">
        <v>0</v>
      </c>
      <c r="I1140">
        <v>0</v>
      </c>
      <c r="J1140">
        <v>1</v>
      </c>
      <c r="K1140">
        <v>1</v>
      </c>
    </row>
    <row r="1141" spans="1:11" x14ac:dyDescent="0.2">
      <c r="A1141" t="s">
        <v>11</v>
      </c>
      <c r="B1141">
        <v>103</v>
      </c>
      <c r="C1141" t="s">
        <v>45</v>
      </c>
      <c r="D1141" t="s">
        <v>18</v>
      </c>
      <c r="E1141" t="s">
        <v>134</v>
      </c>
      <c r="F1141">
        <v>0</v>
      </c>
      <c r="G1141">
        <v>2</v>
      </c>
      <c r="H1141">
        <v>0</v>
      </c>
      <c r="I1141">
        <v>0</v>
      </c>
      <c r="J1141">
        <v>2</v>
      </c>
      <c r="K1141">
        <v>1.5</v>
      </c>
    </row>
    <row r="1142" spans="1:11" x14ac:dyDescent="0.2">
      <c r="A1142" t="s">
        <v>11</v>
      </c>
      <c r="B1142">
        <v>104</v>
      </c>
      <c r="C1142" t="s">
        <v>20</v>
      </c>
      <c r="D1142" t="s">
        <v>18</v>
      </c>
      <c r="E1142" t="s">
        <v>71</v>
      </c>
      <c r="F1142">
        <v>0</v>
      </c>
      <c r="G1142">
        <v>1</v>
      </c>
      <c r="H1142">
        <v>0</v>
      </c>
      <c r="I1142">
        <v>0</v>
      </c>
      <c r="J1142">
        <v>1</v>
      </c>
      <c r="K1142">
        <v>0.75</v>
      </c>
    </row>
    <row r="1143" spans="1:11" x14ac:dyDescent="0.2">
      <c r="A1143" t="s">
        <v>11</v>
      </c>
      <c r="B1143">
        <v>104</v>
      </c>
      <c r="C1143" t="s">
        <v>20</v>
      </c>
      <c r="D1143" t="s">
        <v>13</v>
      </c>
      <c r="E1143" t="s">
        <v>81</v>
      </c>
      <c r="F1143">
        <v>1</v>
      </c>
      <c r="G1143">
        <v>0</v>
      </c>
      <c r="H1143">
        <v>1</v>
      </c>
      <c r="I1143">
        <v>0</v>
      </c>
      <c r="J1143">
        <v>2</v>
      </c>
      <c r="K1143">
        <v>1.5</v>
      </c>
    </row>
    <row r="1144" spans="1:11" x14ac:dyDescent="0.2">
      <c r="A1144" t="s">
        <v>11</v>
      </c>
      <c r="B1144">
        <v>104</v>
      </c>
      <c r="C1144" t="s">
        <v>12</v>
      </c>
      <c r="D1144" t="s">
        <v>13</v>
      </c>
      <c r="E1144" t="s">
        <v>14</v>
      </c>
      <c r="F1144">
        <v>0</v>
      </c>
      <c r="G1144">
        <v>0</v>
      </c>
      <c r="H1144">
        <v>1</v>
      </c>
      <c r="I1144">
        <v>0</v>
      </c>
      <c r="J1144">
        <v>1</v>
      </c>
      <c r="K1144">
        <v>0.5</v>
      </c>
    </row>
    <row r="1145" spans="1:11" x14ac:dyDescent="0.2">
      <c r="A1145" t="s">
        <v>11</v>
      </c>
      <c r="B1145">
        <v>104</v>
      </c>
      <c r="C1145" t="s">
        <v>12</v>
      </c>
      <c r="D1145" t="s">
        <v>13</v>
      </c>
      <c r="E1145" t="s">
        <v>101</v>
      </c>
      <c r="F1145">
        <v>0</v>
      </c>
      <c r="G1145">
        <v>0</v>
      </c>
      <c r="H1145">
        <v>1</v>
      </c>
      <c r="I1145">
        <v>0</v>
      </c>
      <c r="J1145">
        <v>1</v>
      </c>
      <c r="K1145">
        <v>0.5</v>
      </c>
    </row>
    <row r="1146" spans="1:11" x14ac:dyDescent="0.2">
      <c r="A1146" t="s">
        <v>11</v>
      </c>
      <c r="B1146">
        <v>104</v>
      </c>
      <c r="C1146" t="s">
        <v>15</v>
      </c>
      <c r="D1146" t="s">
        <v>13</v>
      </c>
      <c r="E1146" t="s">
        <v>38</v>
      </c>
      <c r="F1146">
        <v>0</v>
      </c>
      <c r="G1146">
        <v>0</v>
      </c>
      <c r="H1146">
        <v>2</v>
      </c>
      <c r="I1146">
        <v>0</v>
      </c>
      <c r="J1146">
        <v>2</v>
      </c>
      <c r="K1146">
        <v>1</v>
      </c>
    </row>
    <row r="1147" spans="1:11" x14ac:dyDescent="0.2">
      <c r="A1147" t="s">
        <v>11</v>
      </c>
      <c r="B1147">
        <v>104</v>
      </c>
      <c r="C1147" t="s">
        <v>15</v>
      </c>
      <c r="D1147" t="s">
        <v>13</v>
      </c>
      <c r="E1147" t="s">
        <v>81</v>
      </c>
      <c r="F1147">
        <v>1</v>
      </c>
      <c r="G1147">
        <v>0</v>
      </c>
      <c r="H1147">
        <v>1</v>
      </c>
      <c r="I1147">
        <v>0</v>
      </c>
      <c r="J1147">
        <v>2</v>
      </c>
      <c r="K1147">
        <v>1.5</v>
      </c>
    </row>
    <row r="1148" spans="1:11" x14ac:dyDescent="0.2">
      <c r="A1148" t="s">
        <v>11</v>
      </c>
      <c r="B1148">
        <v>104</v>
      </c>
      <c r="C1148" t="s">
        <v>15</v>
      </c>
      <c r="D1148" t="s">
        <v>13</v>
      </c>
      <c r="E1148" t="s">
        <v>39</v>
      </c>
      <c r="F1148">
        <v>0</v>
      </c>
      <c r="G1148">
        <v>0</v>
      </c>
      <c r="H1148">
        <v>1</v>
      </c>
      <c r="I1148">
        <v>0</v>
      </c>
      <c r="J1148">
        <v>1</v>
      </c>
      <c r="K1148">
        <v>0.5</v>
      </c>
    </row>
    <row r="1149" spans="1:11" x14ac:dyDescent="0.2">
      <c r="A1149" t="s">
        <v>11</v>
      </c>
      <c r="B1149">
        <v>104</v>
      </c>
      <c r="C1149" t="s">
        <v>22</v>
      </c>
      <c r="D1149" t="s">
        <v>18</v>
      </c>
      <c r="E1149" t="s">
        <v>38</v>
      </c>
      <c r="F1149">
        <v>0</v>
      </c>
      <c r="G1149">
        <v>0</v>
      </c>
      <c r="H1149">
        <v>2</v>
      </c>
      <c r="I1149">
        <v>0</v>
      </c>
      <c r="J1149">
        <v>2</v>
      </c>
      <c r="K1149">
        <v>1</v>
      </c>
    </row>
    <row r="1150" spans="1:11" x14ac:dyDescent="0.2">
      <c r="A1150" t="s">
        <v>11</v>
      </c>
      <c r="B1150">
        <v>104</v>
      </c>
      <c r="C1150" t="s">
        <v>22</v>
      </c>
      <c r="D1150" t="s">
        <v>13</v>
      </c>
      <c r="E1150" t="s">
        <v>81</v>
      </c>
      <c r="F1150">
        <v>1</v>
      </c>
      <c r="G1150">
        <v>0</v>
      </c>
      <c r="H1150">
        <v>1</v>
      </c>
      <c r="I1150">
        <v>0</v>
      </c>
      <c r="J1150">
        <v>2</v>
      </c>
      <c r="K1150">
        <v>1.5</v>
      </c>
    </row>
    <row r="1151" spans="1:11" x14ac:dyDescent="0.2">
      <c r="A1151" t="s">
        <v>11</v>
      </c>
      <c r="B1151">
        <v>104</v>
      </c>
      <c r="C1151" t="s">
        <v>22</v>
      </c>
      <c r="D1151" t="s">
        <v>18</v>
      </c>
      <c r="E1151" t="s">
        <v>63</v>
      </c>
      <c r="F1151">
        <v>0</v>
      </c>
      <c r="G1151">
        <v>0</v>
      </c>
      <c r="H1151">
        <v>0</v>
      </c>
      <c r="I1151">
        <v>2</v>
      </c>
      <c r="J1151">
        <v>2</v>
      </c>
      <c r="K1151">
        <v>0.2</v>
      </c>
    </row>
    <row r="1152" spans="1:11" x14ac:dyDescent="0.2">
      <c r="A1152" t="s">
        <v>11</v>
      </c>
      <c r="B1152">
        <v>104</v>
      </c>
      <c r="C1152" t="s">
        <v>17</v>
      </c>
      <c r="D1152" t="s">
        <v>13</v>
      </c>
      <c r="E1152" t="s">
        <v>40</v>
      </c>
      <c r="F1152">
        <v>0</v>
      </c>
      <c r="G1152">
        <v>0</v>
      </c>
      <c r="H1152">
        <v>0</v>
      </c>
      <c r="I1152">
        <v>4</v>
      </c>
      <c r="J1152">
        <v>4</v>
      </c>
      <c r="K1152">
        <v>0.4</v>
      </c>
    </row>
    <row r="1153" spans="1:11" x14ac:dyDescent="0.2">
      <c r="A1153" t="s">
        <v>11</v>
      </c>
      <c r="B1153">
        <v>104</v>
      </c>
      <c r="C1153" t="s">
        <v>17</v>
      </c>
      <c r="D1153" t="s">
        <v>13</v>
      </c>
      <c r="E1153" t="s">
        <v>109</v>
      </c>
      <c r="F1153">
        <v>0</v>
      </c>
      <c r="G1153">
        <v>0</v>
      </c>
      <c r="H1153">
        <v>1</v>
      </c>
      <c r="I1153">
        <v>0</v>
      </c>
      <c r="J1153">
        <v>1</v>
      </c>
      <c r="K1153">
        <v>0.5</v>
      </c>
    </row>
    <row r="1154" spans="1:11" x14ac:dyDescent="0.2">
      <c r="A1154" t="s">
        <v>11</v>
      </c>
      <c r="B1154">
        <v>104</v>
      </c>
      <c r="C1154" t="s">
        <v>17</v>
      </c>
      <c r="D1154" t="s">
        <v>13</v>
      </c>
      <c r="E1154" t="s">
        <v>132</v>
      </c>
      <c r="F1154">
        <v>0</v>
      </c>
      <c r="G1154">
        <v>0</v>
      </c>
      <c r="H1154">
        <v>1</v>
      </c>
      <c r="I1154">
        <v>2</v>
      </c>
      <c r="J1154">
        <v>3</v>
      </c>
      <c r="K1154">
        <v>0.7</v>
      </c>
    </row>
    <row r="1155" spans="1:11" x14ac:dyDescent="0.2">
      <c r="A1155" t="s">
        <v>11</v>
      </c>
      <c r="B1155">
        <v>104</v>
      </c>
      <c r="C1155" t="s">
        <v>42</v>
      </c>
      <c r="D1155" t="s">
        <v>13</v>
      </c>
      <c r="E1155" t="s">
        <v>71</v>
      </c>
      <c r="F1155">
        <v>0</v>
      </c>
      <c r="G1155">
        <v>1</v>
      </c>
      <c r="H1155">
        <v>0</v>
      </c>
      <c r="I1155">
        <v>0</v>
      </c>
      <c r="J1155">
        <v>1</v>
      </c>
      <c r="K1155">
        <v>0.75</v>
      </c>
    </row>
    <row r="1156" spans="1:11" x14ac:dyDescent="0.2">
      <c r="A1156" t="s">
        <v>11</v>
      </c>
      <c r="B1156">
        <v>104</v>
      </c>
      <c r="C1156" t="s">
        <v>42</v>
      </c>
      <c r="D1156" t="s">
        <v>18</v>
      </c>
      <c r="E1156" t="s">
        <v>71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0.75</v>
      </c>
    </row>
    <row r="1157" spans="1:11" x14ac:dyDescent="0.2">
      <c r="A1157" t="s">
        <v>11</v>
      </c>
      <c r="B1157">
        <v>104</v>
      </c>
      <c r="C1157" t="s">
        <v>42</v>
      </c>
      <c r="D1157" t="s">
        <v>13</v>
      </c>
      <c r="E1157" t="s">
        <v>81</v>
      </c>
      <c r="F1157">
        <v>1</v>
      </c>
      <c r="G1157">
        <v>0</v>
      </c>
      <c r="H1157">
        <v>1</v>
      </c>
      <c r="I1157">
        <v>0</v>
      </c>
      <c r="J1157">
        <v>2</v>
      </c>
      <c r="K1157">
        <v>1.5</v>
      </c>
    </row>
    <row r="1158" spans="1:11" x14ac:dyDescent="0.2">
      <c r="A1158" t="s">
        <v>11</v>
      </c>
      <c r="B1158">
        <v>104</v>
      </c>
      <c r="C1158" t="s">
        <v>42</v>
      </c>
      <c r="D1158" t="s">
        <v>13</v>
      </c>
      <c r="E1158" t="s">
        <v>64</v>
      </c>
      <c r="F1158">
        <v>0</v>
      </c>
      <c r="G1158">
        <v>0</v>
      </c>
      <c r="H1158">
        <v>0</v>
      </c>
      <c r="I1158">
        <v>2</v>
      </c>
      <c r="J1158">
        <v>2</v>
      </c>
      <c r="K1158">
        <v>0.2</v>
      </c>
    </row>
    <row r="1159" spans="1:11" x14ac:dyDescent="0.2">
      <c r="A1159" t="s">
        <v>11</v>
      </c>
      <c r="B1159">
        <v>104</v>
      </c>
      <c r="C1159" t="s">
        <v>45</v>
      </c>
      <c r="D1159" t="s">
        <v>18</v>
      </c>
      <c r="E1159" t="s">
        <v>134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0.75</v>
      </c>
    </row>
    <row r="1160" spans="1:11" x14ac:dyDescent="0.2">
      <c r="A1160" t="s">
        <v>11</v>
      </c>
      <c r="B1160">
        <v>104</v>
      </c>
      <c r="C1160" t="s">
        <v>45</v>
      </c>
      <c r="D1160" t="s">
        <v>13</v>
      </c>
      <c r="E1160" t="s">
        <v>46</v>
      </c>
      <c r="F1160">
        <v>0</v>
      </c>
      <c r="G1160">
        <v>2</v>
      </c>
      <c r="H1160">
        <v>0</v>
      </c>
      <c r="I1160">
        <v>0</v>
      </c>
      <c r="J1160">
        <v>2</v>
      </c>
      <c r="K1160">
        <v>1.5</v>
      </c>
    </row>
    <row r="1161" spans="1:11" x14ac:dyDescent="0.2">
      <c r="A1161" t="s">
        <v>11</v>
      </c>
      <c r="B1161">
        <v>104</v>
      </c>
      <c r="C1161" t="s">
        <v>45</v>
      </c>
      <c r="D1161" t="s">
        <v>13</v>
      </c>
      <c r="E1161" t="s">
        <v>85</v>
      </c>
      <c r="F1161">
        <v>0</v>
      </c>
      <c r="G1161">
        <v>0</v>
      </c>
      <c r="H1161">
        <v>1</v>
      </c>
      <c r="I1161">
        <v>0</v>
      </c>
      <c r="J1161">
        <v>1</v>
      </c>
      <c r="K1161">
        <v>0.5</v>
      </c>
    </row>
    <row r="1162" spans="1:11" x14ac:dyDescent="0.2">
      <c r="A1162" t="s">
        <v>11</v>
      </c>
      <c r="B1162">
        <v>104</v>
      </c>
      <c r="C1162" t="s">
        <v>45</v>
      </c>
      <c r="D1162" t="s">
        <v>18</v>
      </c>
      <c r="E1162" t="s">
        <v>85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0.5</v>
      </c>
    </row>
    <row r="1163" spans="1:11" x14ac:dyDescent="0.2">
      <c r="A1163" t="s">
        <v>11</v>
      </c>
      <c r="B1163">
        <v>105</v>
      </c>
      <c r="C1163" t="s">
        <v>20</v>
      </c>
      <c r="D1163" t="s">
        <v>13</v>
      </c>
      <c r="E1163" t="s">
        <v>27</v>
      </c>
      <c r="F1163">
        <v>0</v>
      </c>
      <c r="G1163">
        <v>1</v>
      </c>
      <c r="H1163">
        <v>1</v>
      </c>
      <c r="I1163">
        <v>0</v>
      </c>
      <c r="J1163">
        <v>2</v>
      </c>
      <c r="K1163">
        <v>1.25</v>
      </c>
    </row>
    <row r="1164" spans="1:11" x14ac:dyDescent="0.2">
      <c r="A1164" t="s">
        <v>11</v>
      </c>
      <c r="B1164">
        <v>105</v>
      </c>
      <c r="C1164" t="s">
        <v>20</v>
      </c>
      <c r="D1164" t="s">
        <v>18</v>
      </c>
      <c r="E1164" t="s">
        <v>27</v>
      </c>
      <c r="F1164">
        <v>0</v>
      </c>
      <c r="G1164">
        <v>1</v>
      </c>
      <c r="H1164">
        <v>1</v>
      </c>
      <c r="I1164">
        <v>0</v>
      </c>
      <c r="J1164">
        <v>2</v>
      </c>
      <c r="K1164">
        <v>1.25</v>
      </c>
    </row>
    <row r="1165" spans="1:11" x14ac:dyDescent="0.2">
      <c r="A1165" t="s">
        <v>11</v>
      </c>
      <c r="B1165">
        <v>105</v>
      </c>
      <c r="C1165" t="s">
        <v>20</v>
      </c>
      <c r="D1165" t="s">
        <v>28</v>
      </c>
      <c r="E1165" t="s">
        <v>29</v>
      </c>
      <c r="F1165">
        <v>1</v>
      </c>
      <c r="G1165">
        <v>0</v>
      </c>
      <c r="H1165">
        <v>1</v>
      </c>
      <c r="I1165">
        <v>0</v>
      </c>
      <c r="J1165">
        <v>2</v>
      </c>
      <c r="K1165">
        <v>1.5</v>
      </c>
    </row>
    <row r="1166" spans="1:11" x14ac:dyDescent="0.2">
      <c r="A1166" t="s">
        <v>11</v>
      </c>
      <c r="B1166">
        <v>105</v>
      </c>
      <c r="C1166" t="s">
        <v>20</v>
      </c>
      <c r="D1166" t="s">
        <v>13</v>
      </c>
      <c r="E1166" t="s">
        <v>37</v>
      </c>
      <c r="F1166">
        <v>1</v>
      </c>
      <c r="G1166">
        <v>0</v>
      </c>
      <c r="H1166">
        <v>0</v>
      </c>
      <c r="I1166">
        <v>0</v>
      </c>
      <c r="J1166">
        <v>1</v>
      </c>
      <c r="K1166">
        <v>1</v>
      </c>
    </row>
    <row r="1167" spans="1:11" x14ac:dyDescent="0.2">
      <c r="A1167" t="s">
        <v>11</v>
      </c>
      <c r="B1167">
        <v>105</v>
      </c>
      <c r="C1167" t="s">
        <v>15</v>
      </c>
      <c r="D1167" t="s">
        <v>13</v>
      </c>
      <c r="E1167" t="s">
        <v>38</v>
      </c>
      <c r="F1167">
        <v>0</v>
      </c>
      <c r="G1167">
        <v>0</v>
      </c>
      <c r="H1167">
        <v>1</v>
      </c>
      <c r="I1167">
        <v>0</v>
      </c>
      <c r="J1167">
        <v>1</v>
      </c>
      <c r="K1167">
        <v>0.5</v>
      </c>
    </row>
    <row r="1168" spans="1:11" x14ac:dyDescent="0.2">
      <c r="A1168" t="s">
        <v>11</v>
      </c>
      <c r="B1168">
        <v>105</v>
      </c>
      <c r="C1168" t="s">
        <v>15</v>
      </c>
      <c r="D1168" t="s">
        <v>18</v>
      </c>
      <c r="E1168" t="s">
        <v>135</v>
      </c>
      <c r="F1168">
        <v>0</v>
      </c>
      <c r="G1168">
        <v>1</v>
      </c>
      <c r="H1168">
        <v>0</v>
      </c>
      <c r="I1168">
        <v>0</v>
      </c>
      <c r="J1168">
        <v>1</v>
      </c>
      <c r="K1168">
        <v>0.75</v>
      </c>
    </row>
    <row r="1169" spans="1:11" x14ac:dyDescent="0.2">
      <c r="A1169" t="s">
        <v>11</v>
      </c>
      <c r="B1169">
        <v>105</v>
      </c>
      <c r="C1169" t="s">
        <v>15</v>
      </c>
      <c r="D1169" t="s">
        <v>13</v>
      </c>
      <c r="E1169" t="s">
        <v>97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0.1</v>
      </c>
    </row>
    <row r="1170" spans="1:11" x14ac:dyDescent="0.2">
      <c r="A1170" t="s">
        <v>11</v>
      </c>
      <c r="B1170">
        <v>105</v>
      </c>
      <c r="C1170" t="s">
        <v>15</v>
      </c>
      <c r="D1170" t="s">
        <v>13</v>
      </c>
      <c r="E1170" t="s">
        <v>67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1</v>
      </c>
    </row>
    <row r="1171" spans="1:11" x14ac:dyDescent="0.2">
      <c r="A1171" t="s">
        <v>11</v>
      </c>
      <c r="B1171">
        <v>105</v>
      </c>
      <c r="C1171" t="s">
        <v>15</v>
      </c>
      <c r="D1171" t="s">
        <v>13</v>
      </c>
      <c r="E1171" t="s">
        <v>136</v>
      </c>
      <c r="F1171">
        <v>1</v>
      </c>
      <c r="G1171">
        <v>0</v>
      </c>
      <c r="H1171">
        <v>0</v>
      </c>
      <c r="I1171">
        <v>0</v>
      </c>
      <c r="J1171">
        <v>1</v>
      </c>
      <c r="K1171">
        <v>1</v>
      </c>
    </row>
    <row r="1172" spans="1:11" x14ac:dyDescent="0.2">
      <c r="A1172" t="s">
        <v>11</v>
      </c>
      <c r="B1172">
        <v>105</v>
      </c>
      <c r="C1172" t="s">
        <v>15</v>
      </c>
      <c r="D1172" t="s">
        <v>18</v>
      </c>
      <c r="E1172" t="s">
        <v>136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1</v>
      </c>
    </row>
    <row r="1173" spans="1:11" x14ac:dyDescent="0.2">
      <c r="A1173" t="s">
        <v>11</v>
      </c>
      <c r="B1173">
        <v>105</v>
      </c>
      <c r="C1173" t="s">
        <v>22</v>
      </c>
      <c r="D1173" t="s">
        <v>18</v>
      </c>
      <c r="E1173" t="s">
        <v>38</v>
      </c>
      <c r="F1173">
        <v>0</v>
      </c>
      <c r="G1173">
        <v>0</v>
      </c>
      <c r="H1173">
        <v>1</v>
      </c>
      <c r="I1173">
        <v>0</v>
      </c>
      <c r="J1173">
        <v>1</v>
      </c>
      <c r="K1173">
        <v>0.5</v>
      </c>
    </row>
    <row r="1174" spans="1:11" x14ac:dyDescent="0.2">
      <c r="A1174" t="s">
        <v>11</v>
      </c>
      <c r="B1174">
        <v>105</v>
      </c>
      <c r="C1174" t="s">
        <v>17</v>
      </c>
      <c r="D1174" t="s">
        <v>13</v>
      </c>
      <c r="E1174" t="s">
        <v>40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0.1</v>
      </c>
    </row>
    <row r="1175" spans="1:11" x14ac:dyDescent="0.2">
      <c r="A1175" t="s">
        <v>11</v>
      </c>
      <c r="B1175">
        <v>105</v>
      </c>
      <c r="C1175" t="s">
        <v>17</v>
      </c>
      <c r="D1175" t="s">
        <v>13</v>
      </c>
      <c r="E1175" t="s">
        <v>41</v>
      </c>
      <c r="F1175">
        <v>1</v>
      </c>
      <c r="G1175">
        <v>0</v>
      </c>
      <c r="H1175">
        <v>0</v>
      </c>
      <c r="I1175">
        <v>0</v>
      </c>
      <c r="J1175">
        <v>1</v>
      </c>
      <c r="K1175">
        <v>1</v>
      </c>
    </row>
    <row r="1176" spans="1:11" x14ac:dyDescent="0.2">
      <c r="A1176" t="s">
        <v>11</v>
      </c>
      <c r="B1176">
        <v>105</v>
      </c>
      <c r="C1176" t="s">
        <v>17</v>
      </c>
      <c r="D1176" t="s">
        <v>13</v>
      </c>
      <c r="E1176" t="s">
        <v>132</v>
      </c>
      <c r="F1176">
        <v>0</v>
      </c>
      <c r="G1176">
        <v>0</v>
      </c>
      <c r="H1176">
        <v>6</v>
      </c>
      <c r="I1176">
        <v>3</v>
      </c>
      <c r="J1176">
        <v>9</v>
      </c>
      <c r="K1176">
        <v>3.3</v>
      </c>
    </row>
    <row r="1177" spans="1:11" x14ac:dyDescent="0.2">
      <c r="A1177" t="s">
        <v>11</v>
      </c>
      <c r="B1177">
        <v>105</v>
      </c>
      <c r="C1177" t="s">
        <v>42</v>
      </c>
      <c r="D1177" t="s">
        <v>28</v>
      </c>
      <c r="E1177" t="s">
        <v>43</v>
      </c>
      <c r="F1177">
        <v>0</v>
      </c>
      <c r="G1177">
        <v>1</v>
      </c>
      <c r="H1177">
        <v>0</v>
      </c>
      <c r="I1177">
        <v>0</v>
      </c>
      <c r="J1177">
        <v>1</v>
      </c>
      <c r="K1177">
        <v>0.75</v>
      </c>
    </row>
    <row r="1178" spans="1:11" x14ac:dyDescent="0.2">
      <c r="A1178" t="s">
        <v>11</v>
      </c>
      <c r="B1178">
        <v>105</v>
      </c>
      <c r="C1178" t="s">
        <v>42</v>
      </c>
      <c r="D1178" t="s">
        <v>13</v>
      </c>
      <c r="E1178" t="s">
        <v>88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0.75</v>
      </c>
    </row>
    <row r="1179" spans="1:11" x14ac:dyDescent="0.2">
      <c r="A1179" t="s">
        <v>11</v>
      </c>
      <c r="B1179">
        <v>105</v>
      </c>
      <c r="C1179" t="s">
        <v>42</v>
      </c>
      <c r="D1179" t="s">
        <v>28</v>
      </c>
      <c r="E1179" t="s">
        <v>51</v>
      </c>
      <c r="F1179">
        <v>0</v>
      </c>
      <c r="G1179">
        <v>1</v>
      </c>
      <c r="H1179">
        <v>0</v>
      </c>
      <c r="I1179">
        <v>0</v>
      </c>
      <c r="J1179">
        <v>1</v>
      </c>
      <c r="K1179">
        <v>0.75</v>
      </c>
    </row>
    <row r="1180" spans="1:11" x14ac:dyDescent="0.2">
      <c r="A1180" t="s">
        <v>11</v>
      </c>
      <c r="B1180">
        <v>105</v>
      </c>
      <c r="C1180" t="s">
        <v>45</v>
      </c>
      <c r="D1180" t="s">
        <v>13</v>
      </c>
      <c r="E1180" t="s">
        <v>27</v>
      </c>
      <c r="F1180">
        <v>0</v>
      </c>
      <c r="G1180">
        <v>1</v>
      </c>
      <c r="H1180">
        <v>1</v>
      </c>
      <c r="I1180">
        <v>0</v>
      </c>
      <c r="J1180">
        <v>2</v>
      </c>
      <c r="K1180">
        <v>1.25</v>
      </c>
    </row>
    <row r="1181" spans="1:11" x14ac:dyDescent="0.2">
      <c r="A1181" t="s">
        <v>11</v>
      </c>
      <c r="B1181">
        <v>105</v>
      </c>
      <c r="C1181" t="s">
        <v>45</v>
      </c>
      <c r="D1181" t="s">
        <v>13</v>
      </c>
      <c r="E1181" t="s">
        <v>79</v>
      </c>
      <c r="F1181">
        <v>0</v>
      </c>
      <c r="G1181">
        <v>0</v>
      </c>
      <c r="H1181">
        <v>0</v>
      </c>
      <c r="I1181">
        <v>1</v>
      </c>
      <c r="J1181">
        <v>1</v>
      </c>
      <c r="K1181">
        <v>0.1</v>
      </c>
    </row>
    <row r="1182" spans="1:11" x14ac:dyDescent="0.2">
      <c r="A1182" t="s">
        <v>11</v>
      </c>
      <c r="B1182">
        <v>105</v>
      </c>
      <c r="C1182" t="s">
        <v>45</v>
      </c>
      <c r="D1182" t="s">
        <v>13</v>
      </c>
      <c r="E1182" t="s">
        <v>137</v>
      </c>
      <c r="F1182">
        <v>0</v>
      </c>
      <c r="G1182">
        <v>0</v>
      </c>
      <c r="H1182">
        <v>6</v>
      </c>
      <c r="I1182">
        <v>1</v>
      </c>
      <c r="J1182">
        <v>7</v>
      </c>
      <c r="K1182">
        <v>3.7</v>
      </c>
    </row>
    <row r="1183" spans="1:11" x14ac:dyDescent="0.2">
      <c r="A1183" t="s">
        <v>11</v>
      </c>
      <c r="B1183">
        <v>106</v>
      </c>
      <c r="C1183" t="s">
        <v>20</v>
      </c>
      <c r="D1183" t="s">
        <v>28</v>
      </c>
      <c r="E1183" t="s">
        <v>29</v>
      </c>
      <c r="F1183">
        <v>0</v>
      </c>
      <c r="G1183">
        <v>0</v>
      </c>
      <c r="H1183">
        <v>3</v>
      </c>
      <c r="I1183">
        <v>0</v>
      </c>
      <c r="J1183">
        <v>3</v>
      </c>
      <c r="K1183">
        <v>1.5</v>
      </c>
    </row>
    <row r="1184" spans="1:11" x14ac:dyDescent="0.2">
      <c r="A1184" t="s">
        <v>11</v>
      </c>
      <c r="B1184">
        <v>106</v>
      </c>
      <c r="C1184" t="s">
        <v>20</v>
      </c>
      <c r="D1184" t="s">
        <v>18</v>
      </c>
      <c r="E1184" t="s">
        <v>57</v>
      </c>
      <c r="F1184">
        <v>0</v>
      </c>
      <c r="G1184">
        <v>0</v>
      </c>
      <c r="H1184">
        <v>0</v>
      </c>
      <c r="I1184">
        <v>2</v>
      </c>
      <c r="J1184">
        <v>2</v>
      </c>
      <c r="K1184">
        <v>0.2</v>
      </c>
    </row>
    <row r="1185" spans="1:11" x14ac:dyDescent="0.2">
      <c r="A1185" t="s">
        <v>11</v>
      </c>
      <c r="B1185">
        <v>106</v>
      </c>
      <c r="C1185" t="s">
        <v>20</v>
      </c>
      <c r="D1185" t="s">
        <v>13</v>
      </c>
      <c r="E1185" t="s">
        <v>102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1</v>
      </c>
    </row>
    <row r="1186" spans="1:11" x14ac:dyDescent="0.2">
      <c r="A1186" t="s">
        <v>11</v>
      </c>
      <c r="B1186">
        <v>106</v>
      </c>
      <c r="C1186" t="s">
        <v>20</v>
      </c>
      <c r="D1186" t="s">
        <v>18</v>
      </c>
      <c r="E1186" t="s">
        <v>102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1</v>
      </c>
    </row>
    <row r="1187" spans="1:11" x14ac:dyDescent="0.2">
      <c r="A1187" t="s">
        <v>11</v>
      </c>
      <c r="B1187">
        <v>106</v>
      </c>
      <c r="C1187" t="s">
        <v>20</v>
      </c>
      <c r="D1187" t="s">
        <v>13</v>
      </c>
      <c r="E1187" t="s">
        <v>37</v>
      </c>
      <c r="F1187">
        <v>0</v>
      </c>
      <c r="G1187">
        <v>1</v>
      </c>
      <c r="H1187">
        <v>0</v>
      </c>
      <c r="I1187">
        <v>0</v>
      </c>
      <c r="J1187">
        <v>1</v>
      </c>
      <c r="K1187">
        <v>0.75</v>
      </c>
    </row>
    <row r="1188" spans="1:11" x14ac:dyDescent="0.2">
      <c r="A1188" t="s">
        <v>11</v>
      </c>
      <c r="B1188">
        <v>106</v>
      </c>
      <c r="C1188" t="s">
        <v>15</v>
      </c>
      <c r="D1188" t="s">
        <v>28</v>
      </c>
      <c r="E1188" t="s">
        <v>57</v>
      </c>
      <c r="F1188">
        <v>0</v>
      </c>
      <c r="G1188">
        <v>0</v>
      </c>
      <c r="H1188">
        <v>0</v>
      </c>
      <c r="I1188">
        <v>2</v>
      </c>
      <c r="J1188">
        <v>2</v>
      </c>
      <c r="K1188">
        <v>0.2</v>
      </c>
    </row>
    <row r="1189" spans="1:11" x14ac:dyDescent="0.2">
      <c r="A1189" t="s">
        <v>11</v>
      </c>
      <c r="B1189">
        <v>106</v>
      </c>
      <c r="C1189" t="s">
        <v>22</v>
      </c>
      <c r="D1189" t="s">
        <v>13</v>
      </c>
      <c r="E1189" t="s">
        <v>102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1</v>
      </c>
    </row>
    <row r="1190" spans="1:11" x14ac:dyDescent="0.2">
      <c r="A1190" t="s">
        <v>11</v>
      </c>
      <c r="B1190">
        <v>106</v>
      </c>
      <c r="C1190" t="s">
        <v>17</v>
      </c>
      <c r="D1190" t="s">
        <v>13</v>
      </c>
      <c r="E1190" t="s">
        <v>59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1</v>
      </c>
    </row>
    <row r="1191" spans="1:11" x14ac:dyDescent="0.2">
      <c r="A1191" t="s">
        <v>11</v>
      </c>
      <c r="B1191">
        <v>106</v>
      </c>
      <c r="C1191" t="s">
        <v>17</v>
      </c>
      <c r="D1191" t="s">
        <v>13</v>
      </c>
      <c r="E1191" t="s">
        <v>40</v>
      </c>
      <c r="F1191">
        <v>0</v>
      </c>
      <c r="G1191">
        <v>0</v>
      </c>
      <c r="H1191">
        <v>0</v>
      </c>
      <c r="I1191">
        <v>2</v>
      </c>
      <c r="J1191">
        <v>2</v>
      </c>
      <c r="K1191">
        <v>0.2</v>
      </c>
    </row>
    <row r="1192" spans="1:11" x14ac:dyDescent="0.2">
      <c r="A1192" t="s">
        <v>11</v>
      </c>
      <c r="B1192">
        <v>106</v>
      </c>
      <c r="C1192" t="s">
        <v>17</v>
      </c>
      <c r="D1192" t="s">
        <v>13</v>
      </c>
      <c r="E1192" t="s">
        <v>132</v>
      </c>
      <c r="F1192">
        <v>0</v>
      </c>
      <c r="G1192">
        <v>0</v>
      </c>
      <c r="H1192">
        <v>0</v>
      </c>
      <c r="I1192">
        <v>1</v>
      </c>
      <c r="J1192">
        <v>1</v>
      </c>
      <c r="K1192">
        <v>0.1</v>
      </c>
    </row>
    <row r="1193" spans="1:11" x14ac:dyDescent="0.2">
      <c r="A1193" t="s">
        <v>11</v>
      </c>
      <c r="B1193">
        <v>106</v>
      </c>
      <c r="C1193" t="s">
        <v>42</v>
      </c>
      <c r="D1193" t="s">
        <v>13</v>
      </c>
      <c r="E1193" t="s">
        <v>50</v>
      </c>
      <c r="F1193">
        <v>0</v>
      </c>
      <c r="G1193">
        <v>0</v>
      </c>
      <c r="H1193">
        <v>1</v>
      </c>
      <c r="I1193">
        <v>0</v>
      </c>
      <c r="J1193">
        <v>1</v>
      </c>
      <c r="K1193">
        <v>0.5</v>
      </c>
    </row>
    <row r="1194" spans="1:11" x14ac:dyDescent="0.2">
      <c r="A1194" t="s">
        <v>11</v>
      </c>
      <c r="B1194">
        <v>106</v>
      </c>
      <c r="C1194" t="s">
        <v>42</v>
      </c>
      <c r="D1194" t="s">
        <v>28</v>
      </c>
      <c r="E1194" t="s">
        <v>43</v>
      </c>
      <c r="F1194">
        <v>0</v>
      </c>
      <c r="G1194">
        <v>1</v>
      </c>
      <c r="H1194">
        <v>0</v>
      </c>
      <c r="I1194">
        <v>0</v>
      </c>
      <c r="J1194">
        <v>1</v>
      </c>
      <c r="K1194">
        <v>0.75</v>
      </c>
    </row>
    <row r="1195" spans="1:11" x14ac:dyDescent="0.2">
      <c r="A1195" t="s">
        <v>11</v>
      </c>
      <c r="B1195">
        <v>106</v>
      </c>
      <c r="C1195" t="s">
        <v>42</v>
      </c>
      <c r="D1195" t="s">
        <v>28</v>
      </c>
      <c r="E1195" t="s">
        <v>51</v>
      </c>
      <c r="F1195">
        <v>0</v>
      </c>
      <c r="G1195">
        <v>2</v>
      </c>
      <c r="H1195">
        <v>0</v>
      </c>
      <c r="I1195">
        <v>0</v>
      </c>
      <c r="J1195">
        <v>2</v>
      </c>
      <c r="K1195">
        <v>1.5</v>
      </c>
    </row>
    <row r="1196" spans="1:11" x14ac:dyDescent="0.2">
      <c r="A1196" t="s">
        <v>11</v>
      </c>
      <c r="B1196">
        <v>106</v>
      </c>
      <c r="C1196" t="s">
        <v>45</v>
      </c>
      <c r="D1196" t="s">
        <v>13</v>
      </c>
      <c r="E1196" t="s">
        <v>137</v>
      </c>
      <c r="F1196">
        <v>0</v>
      </c>
      <c r="G1196">
        <v>0</v>
      </c>
      <c r="H1196">
        <v>1</v>
      </c>
      <c r="I1196">
        <v>0</v>
      </c>
      <c r="J1196">
        <v>1</v>
      </c>
      <c r="K1196">
        <v>0.6</v>
      </c>
    </row>
    <row r="1197" spans="1:11" x14ac:dyDescent="0.2">
      <c r="A1197" t="s">
        <v>11</v>
      </c>
      <c r="B1197">
        <v>107</v>
      </c>
      <c r="C1197" t="s">
        <v>20</v>
      </c>
      <c r="D1197" t="s">
        <v>18</v>
      </c>
      <c r="E1197" t="s">
        <v>21</v>
      </c>
      <c r="F1197">
        <v>0</v>
      </c>
      <c r="G1197">
        <v>0</v>
      </c>
      <c r="H1197">
        <v>0</v>
      </c>
      <c r="I1197">
        <v>1</v>
      </c>
      <c r="J1197">
        <v>1</v>
      </c>
      <c r="K1197">
        <v>0.1</v>
      </c>
    </row>
    <row r="1198" spans="1:11" x14ac:dyDescent="0.2">
      <c r="A1198" t="s">
        <v>11</v>
      </c>
      <c r="B1198">
        <v>107</v>
      </c>
      <c r="C1198" t="s">
        <v>20</v>
      </c>
      <c r="D1198" t="s">
        <v>18</v>
      </c>
      <c r="E1198" t="s">
        <v>35</v>
      </c>
      <c r="F1198">
        <v>0</v>
      </c>
      <c r="G1198">
        <v>0</v>
      </c>
      <c r="H1198">
        <v>2</v>
      </c>
      <c r="I1198">
        <v>1</v>
      </c>
      <c r="J1198">
        <v>3</v>
      </c>
      <c r="K1198">
        <v>1.1000000000000001</v>
      </c>
    </row>
    <row r="1199" spans="1:11" x14ac:dyDescent="0.2">
      <c r="A1199" t="s">
        <v>11</v>
      </c>
      <c r="B1199">
        <v>107</v>
      </c>
      <c r="C1199" t="s">
        <v>42</v>
      </c>
      <c r="D1199" t="s">
        <v>13</v>
      </c>
      <c r="E1199" t="s">
        <v>35</v>
      </c>
      <c r="F1199">
        <v>0</v>
      </c>
      <c r="G1199">
        <v>0</v>
      </c>
      <c r="H1199">
        <v>2</v>
      </c>
      <c r="I1199">
        <v>1</v>
      </c>
      <c r="J1199">
        <v>3</v>
      </c>
      <c r="K1199">
        <v>1.1000000000000001</v>
      </c>
    </row>
    <row r="1200" spans="1:11" x14ac:dyDescent="0.2">
      <c r="A1200" t="s">
        <v>11</v>
      </c>
      <c r="B1200">
        <v>107</v>
      </c>
      <c r="C1200" t="s">
        <v>42</v>
      </c>
      <c r="D1200" t="s">
        <v>18</v>
      </c>
      <c r="E1200" t="s">
        <v>44</v>
      </c>
      <c r="F1200">
        <v>0</v>
      </c>
      <c r="G1200">
        <v>0</v>
      </c>
      <c r="H1200">
        <v>2</v>
      </c>
      <c r="I1200">
        <v>1</v>
      </c>
      <c r="J1200">
        <v>3</v>
      </c>
      <c r="K1200">
        <v>1.1000000000000001</v>
      </c>
    </row>
    <row r="1201" spans="1:11" x14ac:dyDescent="0.2">
      <c r="A1201" t="s">
        <v>11</v>
      </c>
      <c r="B1201">
        <v>108</v>
      </c>
      <c r="C1201" t="s">
        <v>20</v>
      </c>
      <c r="D1201" t="s">
        <v>18</v>
      </c>
      <c r="E1201" t="s">
        <v>57</v>
      </c>
      <c r="F1201">
        <v>0</v>
      </c>
      <c r="G1201">
        <v>0</v>
      </c>
      <c r="H1201">
        <v>1</v>
      </c>
      <c r="I1201">
        <v>0</v>
      </c>
      <c r="J1201">
        <v>1</v>
      </c>
      <c r="K1201">
        <v>0.5</v>
      </c>
    </row>
    <row r="1202" spans="1:11" x14ac:dyDescent="0.2">
      <c r="A1202" t="s">
        <v>11</v>
      </c>
      <c r="B1202">
        <v>108</v>
      </c>
      <c r="C1202" t="s">
        <v>20</v>
      </c>
      <c r="D1202" t="s">
        <v>13</v>
      </c>
      <c r="E1202" t="s">
        <v>73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0.75</v>
      </c>
    </row>
    <row r="1203" spans="1:11" x14ac:dyDescent="0.2">
      <c r="A1203" t="s">
        <v>11</v>
      </c>
      <c r="B1203">
        <v>108</v>
      </c>
      <c r="C1203" t="s">
        <v>20</v>
      </c>
      <c r="D1203" t="s">
        <v>28</v>
      </c>
      <c r="E1203" t="s">
        <v>113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1</v>
      </c>
    </row>
    <row r="1204" spans="1:11" x14ac:dyDescent="0.2">
      <c r="A1204" t="s">
        <v>11</v>
      </c>
      <c r="B1204">
        <v>108</v>
      </c>
      <c r="C1204" t="s">
        <v>12</v>
      </c>
      <c r="D1204" t="s">
        <v>13</v>
      </c>
      <c r="E1204" t="s">
        <v>74</v>
      </c>
      <c r="F1204">
        <v>0</v>
      </c>
      <c r="G1204">
        <v>0</v>
      </c>
      <c r="H1204">
        <v>3</v>
      </c>
      <c r="I1204">
        <v>0</v>
      </c>
      <c r="J1204">
        <v>3</v>
      </c>
      <c r="K1204">
        <v>1.5</v>
      </c>
    </row>
    <row r="1205" spans="1:11" x14ac:dyDescent="0.2">
      <c r="A1205" t="s">
        <v>11</v>
      </c>
      <c r="B1205">
        <v>108</v>
      </c>
      <c r="C1205" t="s">
        <v>15</v>
      </c>
      <c r="D1205" t="s">
        <v>28</v>
      </c>
      <c r="E1205" t="s">
        <v>57</v>
      </c>
      <c r="F1205">
        <v>0</v>
      </c>
      <c r="G1205">
        <v>0</v>
      </c>
      <c r="H1205">
        <v>1</v>
      </c>
      <c r="I1205">
        <v>0</v>
      </c>
      <c r="J1205">
        <v>1</v>
      </c>
      <c r="K1205">
        <v>0.5</v>
      </c>
    </row>
    <row r="1206" spans="1:11" x14ac:dyDescent="0.2">
      <c r="A1206" t="s">
        <v>11</v>
      </c>
      <c r="B1206">
        <v>108</v>
      </c>
      <c r="C1206" t="s">
        <v>15</v>
      </c>
      <c r="D1206" t="s">
        <v>13</v>
      </c>
      <c r="E1206" t="s">
        <v>16</v>
      </c>
      <c r="F1206">
        <v>0</v>
      </c>
      <c r="G1206">
        <v>0</v>
      </c>
      <c r="H1206">
        <v>1</v>
      </c>
      <c r="I1206">
        <v>0</v>
      </c>
      <c r="J1206">
        <v>1</v>
      </c>
      <c r="K1206">
        <v>0.5</v>
      </c>
    </row>
    <row r="1207" spans="1:11" x14ac:dyDescent="0.2">
      <c r="A1207" t="s">
        <v>11</v>
      </c>
      <c r="B1207">
        <v>108</v>
      </c>
      <c r="C1207" t="s">
        <v>15</v>
      </c>
      <c r="D1207" t="s">
        <v>18</v>
      </c>
      <c r="E1207" t="s">
        <v>113</v>
      </c>
      <c r="F1207">
        <v>1</v>
      </c>
      <c r="G1207">
        <v>0</v>
      </c>
      <c r="H1207">
        <v>0</v>
      </c>
      <c r="I1207">
        <v>0</v>
      </c>
      <c r="J1207">
        <v>1</v>
      </c>
      <c r="K1207">
        <v>1</v>
      </c>
    </row>
    <row r="1208" spans="1:11" x14ac:dyDescent="0.2">
      <c r="A1208" t="s">
        <v>11</v>
      </c>
      <c r="B1208">
        <v>108</v>
      </c>
      <c r="C1208" t="s">
        <v>22</v>
      </c>
      <c r="D1208" t="s">
        <v>13</v>
      </c>
      <c r="E1208" t="s">
        <v>23</v>
      </c>
      <c r="F1208">
        <v>0</v>
      </c>
      <c r="G1208">
        <v>0</v>
      </c>
      <c r="H1208">
        <v>2</v>
      </c>
      <c r="I1208">
        <v>0</v>
      </c>
      <c r="J1208">
        <v>2</v>
      </c>
      <c r="K1208">
        <v>1</v>
      </c>
    </row>
    <row r="1209" spans="1:11" x14ac:dyDescent="0.2">
      <c r="A1209" t="s">
        <v>11</v>
      </c>
      <c r="B1209">
        <v>108</v>
      </c>
      <c r="C1209" t="s">
        <v>17</v>
      </c>
      <c r="D1209" t="s">
        <v>18</v>
      </c>
      <c r="E1209" t="s">
        <v>19</v>
      </c>
      <c r="F1209">
        <v>0</v>
      </c>
      <c r="G1209">
        <v>0</v>
      </c>
      <c r="H1209">
        <v>1</v>
      </c>
      <c r="I1209">
        <v>0</v>
      </c>
      <c r="J1209">
        <v>1</v>
      </c>
      <c r="K1209">
        <v>0.5</v>
      </c>
    </row>
    <row r="1210" spans="1:11" x14ac:dyDescent="0.2">
      <c r="A1210" t="s">
        <v>11</v>
      </c>
      <c r="B1210">
        <v>108</v>
      </c>
      <c r="C1210" t="s">
        <v>17</v>
      </c>
      <c r="D1210" t="s">
        <v>18</v>
      </c>
      <c r="E1210" t="s">
        <v>76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0.1</v>
      </c>
    </row>
    <row r="1211" spans="1:11" x14ac:dyDescent="0.2">
      <c r="A1211" t="s">
        <v>11</v>
      </c>
      <c r="B1211">
        <v>108</v>
      </c>
      <c r="C1211" t="s">
        <v>42</v>
      </c>
      <c r="D1211" t="s">
        <v>13</v>
      </c>
      <c r="E1211" t="s">
        <v>50</v>
      </c>
      <c r="F1211">
        <v>0</v>
      </c>
      <c r="G1211">
        <v>0</v>
      </c>
      <c r="H1211">
        <v>0</v>
      </c>
      <c r="I1211">
        <v>1</v>
      </c>
      <c r="J1211">
        <v>1</v>
      </c>
      <c r="K1211">
        <v>0.1</v>
      </c>
    </row>
    <row r="1212" spans="1:11" x14ac:dyDescent="0.2">
      <c r="A1212" t="s">
        <v>11</v>
      </c>
      <c r="B1212">
        <v>108</v>
      </c>
      <c r="C1212" t="s">
        <v>42</v>
      </c>
      <c r="D1212" t="s">
        <v>13</v>
      </c>
      <c r="E1212" t="s">
        <v>56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0.1</v>
      </c>
    </row>
    <row r="1213" spans="1:11" x14ac:dyDescent="0.2">
      <c r="A1213" t="s">
        <v>11</v>
      </c>
      <c r="B1213">
        <v>108</v>
      </c>
      <c r="C1213" t="s">
        <v>42</v>
      </c>
      <c r="D1213" t="s">
        <v>18</v>
      </c>
      <c r="E1213" t="s">
        <v>113</v>
      </c>
      <c r="F1213">
        <v>1</v>
      </c>
      <c r="G1213">
        <v>0</v>
      </c>
      <c r="H1213">
        <v>0</v>
      </c>
      <c r="I1213">
        <v>0</v>
      </c>
      <c r="J1213">
        <v>1</v>
      </c>
      <c r="K1213">
        <v>1</v>
      </c>
    </row>
    <row r="1214" spans="1:11" x14ac:dyDescent="0.2">
      <c r="A1214" t="s">
        <v>11</v>
      </c>
      <c r="B1214">
        <v>109</v>
      </c>
      <c r="C1214" t="s">
        <v>20</v>
      </c>
      <c r="D1214" t="s">
        <v>13</v>
      </c>
      <c r="E1214" t="s">
        <v>33</v>
      </c>
      <c r="F1214">
        <v>0</v>
      </c>
      <c r="G1214">
        <v>1</v>
      </c>
      <c r="H1214">
        <v>0</v>
      </c>
      <c r="I1214">
        <v>0</v>
      </c>
      <c r="J1214">
        <v>1</v>
      </c>
      <c r="K1214">
        <v>0.75</v>
      </c>
    </row>
    <row r="1215" spans="1:11" x14ac:dyDescent="0.2">
      <c r="A1215" t="s">
        <v>11</v>
      </c>
      <c r="B1215">
        <v>109</v>
      </c>
      <c r="C1215" t="s">
        <v>20</v>
      </c>
      <c r="D1215" t="s">
        <v>13</v>
      </c>
      <c r="E1215" t="s">
        <v>37</v>
      </c>
      <c r="F1215">
        <v>1</v>
      </c>
      <c r="G1215">
        <v>2</v>
      </c>
      <c r="H1215">
        <v>0</v>
      </c>
      <c r="I1215">
        <v>0</v>
      </c>
      <c r="J1215">
        <v>3</v>
      </c>
      <c r="K1215">
        <v>2.5</v>
      </c>
    </row>
    <row r="1216" spans="1:11" x14ac:dyDescent="0.2">
      <c r="A1216" t="s">
        <v>11</v>
      </c>
      <c r="B1216">
        <v>109</v>
      </c>
      <c r="C1216" t="s">
        <v>22</v>
      </c>
      <c r="D1216" t="s">
        <v>13</v>
      </c>
      <c r="E1216" t="s">
        <v>25</v>
      </c>
      <c r="F1216">
        <v>0</v>
      </c>
      <c r="G1216">
        <v>0</v>
      </c>
      <c r="H1216">
        <v>1</v>
      </c>
      <c r="I1216">
        <v>0</v>
      </c>
      <c r="J1216">
        <v>1</v>
      </c>
      <c r="K1216">
        <v>0.5</v>
      </c>
    </row>
    <row r="1217" spans="1:11" x14ac:dyDescent="0.2">
      <c r="A1217" t="s">
        <v>11</v>
      </c>
      <c r="B1217">
        <v>109</v>
      </c>
      <c r="C1217" t="s">
        <v>42</v>
      </c>
      <c r="D1217" t="s">
        <v>28</v>
      </c>
      <c r="E1217" t="s">
        <v>43</v>
      </c>
      <c r="F1217">
        <v>0</v>
      </c>
      <c r="G1217">
        <v>3</v>
      </c>
      <c r="H1217">
        <v>0</v>
      </c>
      <c r="I1217">
        <v>0</v>
      </c>
      <c r="J1217">
        <v>3</v>
      </c>
      <c r="K1217">
        <v>2.25</v>
      </c>
    </row>
    <row r="1218" spans="1:11" x14ac:dyDescent="0.2">
      <c r="A1218" t="s">
        <v>11</v>
      </c>
      <c r="B1218">
        <v>109</v>
      </c>
      <c r="C1218" t="s">
        <v>42</v>
      </c>
      <c r="D1218" t="s">
        <v>13</v>
      </c>
      <c r="E1218" t="s">
        <v>56</v>
      </c>
      <c r="F1218">
        <v>0</v>
      </c>
      <c r="G1218">
        <v>0</v>
      </c>
      <c r="H1218">
        <v>0</v>
      </c>
      <c r="I1218">
        <v>1</v>
      </c>
      <c r="J1218">
        <v>1</v>
      </c>
      <c r="K1218">
        <v>0.1</v>
      </c>
    </row>
    <row r="1219" spans="1:11" x14ac:dyDescent="0.2">
      <c r="A1219" t="s">
        <v>11</v>
      </c>
      <c r="B1219">
        <v>110</v>
      </c>
      <c r="C1219" t="s">
        <v>20</v>
      </c>
      <c r="D1219" t="s">
        <v>13</v>
      </c>
      <c r="E1219" t="s">
        <v>37</v>
      </c>
      <c r="F1219">
        <v>0</v>
      </c>
      <c r="G1219">
        <v>0</v>
      </c>
      <c r="H1219">
        <v>3</v>
      </c>
      <c r="I1219">
        <v>1</v>
      </c>
      <c r="J1219">
        <v>4</v>
      </c>
      <c r="K1219">
        <v>1.7</v>
      </c>
    </row>
    <row r="1220" spans="1:11" x14ac:dyDescent="0.2">
      <c r="A1220" t="s">
        <v>11</v>
      </c>
      <c r="B1220">
        <v>110</v>
      </c>
      <c r="C1220" t="s">
        <v>12</v>
      </c>
      <c r="D1220" t="s">
        <v>13</v>
      </c>
      <c r="E1220" t="s">
        <v>58</v>
      </c>
      <c r="F1220">
        <v>0</v>
      </c>
      <c r="G1220">
        <v>0</v>
      </c>
      <c r="H1220">
        <v>0</v>
      </c>
      <c r="I1220">
        <v>1</v>
      </c>
      <c r="J1220">
        <v>1</v>
      </c>
      <c r="K1220">
        <v>0.1</v>
      </c>
    </row>
    <row r="1221" spans="1:11" x14ac:dyDescent="0.2">
      <c r="A1221" t="s">
        <v>11</v>
      </c>
      <c r="B1221">
        <v>110</v>
      </c>
      <c r="C1221" t="s">
        <v>22</v>
      </c>
      <c r="D1221" t="s">
        <v>13</v>
      </c>
      <c r="E1221" t="s">
        <v>54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0.75</v>
      </c>
    </row>
    <row r="1222" spans="1:11" x14ac:dyDescent="0.2">
      <c r="A1222" t="s">
        <v>11</v>
      </c>
      <c r="B1222">
        <v>110</v>
      </c>
      <c r="C1222" t="s">
        <v>17</v>
      </c>
      <c r="D1222" t="s">
        <v>18</v>
      </c>
      <c r="E1222" t="s">
        <v>82</v>
      </c>
      <c r="F1222">
        <v>1</v>
      </c>
      <c r="G1222">
        <v>0</v>
      </c>
      <c r="H1222">
        <v>0</v>
      </c>
      <c r="I1222">
        <v>0</v>
      </c>
      <c r="J1222">
        <v>1</v>
      </c>
      <c r="K1222">
        <v>1</v>
      </c>
    </row>
    <row r="1223" spans="1:11" x14ac:dyDescent="0.2">
      <c r="A1223" t="s">
        <v>11</v>
      </c>
      <c r="B1223">
        <v>110</v>
      </c>
      <c r="C1223" t="s">
        <v>17</v>
      </c>
      <c r="D1223" t="s">
        <v>13</v>
      </c>
      <c r="E1223" t="s">
        <v>40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0.1</v>
      </c>
    </row>
    <row r="1224" spans="1:11" x14ac:dyDescent="0.2">
      <c r="A1224" t="s">
        <v>11</v>
      </c>
      <c r="B1224">
        <v>110</v>
      </c>
      <c r="C1224" t="s">
        <v>42</v>
      </c>
      <c r="D1224" t="s">
        <v>28</v>
      </c>
      <c r="E1224" t="s">
        <v>43</v>
      </c>
      <c r="F1224">
        <v>0</v>
      </c>
      <c r="G1224">
        <v>0</v>
      </c>
      <c r="H1224">
        <v>3</v>
      </c>
      <c r="I1224">
        <v>1</v>
      </c>
      <c r="J1224">
        <v>4</v>
      </c>
      <c r="K1224">
        <v>1.8</v>
      </c>
    </row>
    <row r="1225" spans="1:11" x14ac:dyDescent="0.2">
      <c r="A1225" t="s">
        <v>11</v>
      </c>
      <c r="B1225">
        <v>110</v>
      </c>
      <c r="C1225" t="s">
        <v>42</v>
      </c>
      <c r="D1225" t="s">
        <v>13</v>
      </c>
      <c r="E1225" t="s">
        <v>56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0.1</v>
      </c>
    </row>
    <row r="1226" spans="1:11" x14ac:dyDescent="0.2">
      <c r="A1226" t="s">
        <v>11</v>
      </c>
      <c r="B1226">
        <v>110</v>
      </c>
      <c r="C1226" t="s">
        <v>45</v>
      </c>
      <c r="D1226" t="s">
        <v>13</v>
      </c>
      <c r="E1226" t="s">
        <v>83</v>
      </c>
      <c r="F1226">
        <v>1</v>
      </c>
      <c r="G1226">
        <v>0</v>
      </c>
      <c r="H1226">
        <v>0</v>
      </c>
      <c r="I1226">
        <v>1</v>
      </c>
      <c r="J1226">
        <v>2</v>
      </c>
      <c r="K1226">
        <v>1.1000000000000001</v>
      </c>
    </row>
    <row r="1227" spans="1:11" x14ac:dyDescent="0.2">
      <c r="A1227" t="s">
        <v>11</v>
      </c>
      <c r="B1227">
        <v>110</v>
      </c>
      <c r="C1227" t="s">
        <v>45</v>
      </c>
      <c r="D1227" t="s">
        <v>18</v>
      </c>
      <c r="E1227" t="s">
        <v>96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0.5</v>
      </c>
    </row>
    <row r="1228" spans="1:11" x14ac:dyDescent="0.2">
      <c r="A1228" t="s">
        <v>11</v>
      </c>
      <c r="B1228">
        <v>111</v>
      </c>
      <c r="C1228" t="s">
        <v>20</v>
      </c>
      <c r="D1228" t="s">
        <v>28</v>
      </c>
      <c r="E1228" t="s">
        <v>53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0.5</v>
      </c>
    </row>
    <row r="1229" spans="1:11" x14ac:dyDescent="0.2">
      <c r="A1229" t="s">
        <v>11</v>
      </c>
      <c r="B1229">
        <v>111</v>
      </c>
      <c r="C1229" t="s">
        <v>20</v>
      </c>
      <c r="D1229" t="s">
        <v>18</v>
      </c>
      <c r="E1229" t="s">
        <v>35</v>
      </c>
      <c r="F1229">
        <v>0</v>
      </c>
      <c r="G1229">
        <v>2</v>
      </c>
      <c r="H1229">
        <v>0</v>
      </c>
      <c r="I1229">
        <v>0</v>
      </c>
      <c r="J1229">
        <v>2</v>
      </c>
      <c r="K1229">
        <v>1.5</v>
      </c>
    </row>
    <row r="1230" spans="1:11" x14ac:dyDescent="0.2">
      <c r="A1230" t="s">
        <v>11</v>
      </c>
      <c r="B1230">
        <v>111</v>
      </c>
      <c r="C1230" t="s">
        <v>20</v>
      </c>
      <c r="D1230" t="s">
        <v>13</v>
      </c>
      <c r="E1230" t="s">
        <v>37</v>
      </c>
      <c r="F1230">
        <v>5</v>
      </c>
      <c r="G1230">
        <v>0</v>
      </c>
      <c r="H1230">
        <v>1</v>
      </c>
      <c r="I1230">
        <v>0</v>
      </c>
      <c r="J1230">
        <v>6</v>
      </c>
      <c r="K1230">
        <v>5.6</v>
      </c>
    </row>
    <row r="1231" spans="1:11" x14ac:dyDescent="0.2">
      <c r="A1231" t="s">
        <v>11</v>
      </c>
      <c r="B1231">
        <v>111</v>
      </c>
      <c r="C1231" t="s">
        <v>42</v>
      </c>
      <c r="D1231" t="s">
        <v>28</v>
      </c>
      <c r="E1231" t="s">
        <v>43</v>
      </c>
      <c r="F1231">
        <v>0</v>
      </c>
      <c r="G1231">
        <v>5</v>
      </c>
      <c r="H1231">
        <v>1</v>
      </c>
      <c r="I1231">
        <v>0</v>
      </c>
      <c r="J1231">
        <v>6</v>
      </c>
      <c r="K1231">
        <v>4.3499999999999996</v>
      </c>
    </row>
    <row r="1232" spans="1:11" x14ac:dyDescent="0.2">
      <c r="A1232" t="s">
        <v>11</v>
      </c>
      <c r="B1232">
        <v>111</v>
      </c>
      <c r="C1232" t="s">
        <v>42</v>
      </c>
      <c r="D1232" t="s">
        <v>28</v>
      </c>
      <c r="E1232" t="s">
        <v>51</v>
      </c>
      <c r="F1232">
        <v>0</v>
      </c>
      <c r="G1232">
        <v>0</v>
      </c>
      <c r="H1232">
        <v>2</v>
      </c>
      <c r="I1232">
        <v>0</v>
      </c>
      <c r="J1232">
        <v>2</v>
      </c>
      <c r="K1232">
        <v>1</v>
      </c>
    </row>
    <row r="1233" spans="1:11" x14ac:dyDescent="0.2">
      <c r="A1233" t="s">
        <v>11</v>
      </c>
      <c r="B1233">
        <v>111</v>
      </c>
      <c r="C1233" t="s">
        <v>42</v>
      </c>
      <c r="D1233" t="s">
        <v>13</v>
      </c>
      <c r="E1233" t="s">
        <v>35</v>
      </c>
      <c r="F1233">
        <v>0</v>
      </c>
      <c r="G1233">
        <v>2</v>
      </c>
      <c r="H1233">
        <v>0</v>
      </c>
      <c r="I1233">
        <v>0</v>
      </c>
      <c r="J1233">
        <v>2</v>
      </c>
      <c r="K1233">
        <v>1.5</v>
      </c>
    </row>
    <row r="1234" spans="1:11" x14ac:dyDescent="0.2">
      <c r="A1234" t="s">
        <v>11</v>
      </c>
      <c r="B1234">
        <v>111</v>
      </c>
      <c r="C1234" t="s">
        <v>42</v>
      </c>
      <c r="D1234" t="s">
        <v>18</v>
      </c>
      <c r="E1234" t="s">
        <v>44</v>
      </c>
      <c r="F1234">
        <v>0</v>
      </c>
      <c r="G1234">
        <v>2</v>
      </c>
      <c r="H1234">
        <v>0</v>
      </c>
      <c r="I1234">
        <v>0</v>
      </c>
      <c r="J1234">
        <v>2</v>
      </c>
      <c r="K1234">
        <v>1.5</v>
      </c>
    </row>
    <row r="1235" spans="1:11" x14ac:dyDescent="0.2">
      <c r="A1235" t="s">
        <v>11</v>
      </c>
      <c r="B1235">
        <v>111</v>
      </c>
      <c r="C1235" t="s">
        <v>42</v>
      </c>
      <c r="D1235" t="s">
        <v>13</v>
      </c>
      <c r="E1235" t="s">
        <v>52</v>
      </c>
      <c r="F1235">
        <v>0</v>
      </c>
      <c r="G1235">
        <v>0</v>
      </c>
      <c r="H1235">
        <v>1</v>
      </c>
      <c r="I1235">
        <v>0</v>
      </c>
      <c r="J1235">
        <v>1</v>
      </c>
      <c r="K1235">
        <v>0.5</v>
      </c>
    </row>
    <row r="1236" spans="1:11" x14ac:dyDescent="0.2">
      <c r="A1236" t="s">
        <v>11</v>
      </c>
      <c r="B1236">
        <v>111</v>
      </c>
      <c r="C1236" t="s">
        <v>45</v>
      </c>
      <c r="D1236" t="s">
        <v>13</v>
      </c>
      <c r="E1236" t="s">
        <v>47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1</v>
      </c>
    </row>
    <row r="1237" spans="1:11" x14ac:dyDescent="0.2">
      <c r="A1237" t="s">
        <v>11</v>
      </c>
      <c r="B1237">
        <v>111</v>
      </c>
      <c r="C1237" t="s">
        <v>45</v>
      </c>
      <c r="D1237" t="s">
        <v>18</v>
      </c>
      <c r="E1237" t="s">
        <v>48</v>
      </c>
      <c r="F1237">
        <v>0</v>
      </c>
      <c r="G1237">
        <v>0</v>
      </c>
      <c r="H1237">
        <v>1</v>
      </c>
      <c r="I1237">
        <v>0</v>
      </c>
      <c r="J1237">
        <v>1</v>
      </c>
      <c r="K1237">
        <v>0.5</v>
      </c>
    </row>
    <row r="1238" spans="1:11" x14ac:dyDescent="0.2">
      <c r="A1238" t="s">
        <v>11</v>
      </c>
      <c r="B1238">
        <v>111</v>
      </c>
      <c r="C1238" t="s">
        <v>45</v>
      </c>
      <c r="D1238" t="s">
        <v>28</v>
      </c>
      <c r="E1238" t="s">
        <v>48</v>
      </c>
      <c r="F1238">
        <v>0</v>
      </c>
      <c r="G1238">
        <v>0</v>
      </c>
      <c r="H1238">
        <v>1</v>
      </c>
      <c r="I1238">
        <v>0</v>
      </c>
      <c r="J1238">
        <v>1</v>
      </c>
      <c r="K1238">
        <v>0.5</v>
      </c>
    </row>
    <row r="1239" spans="1:11" x14ac:dyDescent="0.2">
      <c r="A1239" t="s">
        <v>11</v>
      </c>
      <c r="B1239">
        <v>112</v>
      </c>
      <c r="C1239" t="s">
        <v>20</v>
      </c>
      <c r="D1239" t="s">
        <v>13</v>
      </c>
      <c r="E1239" t="s">
        <v>33</v>
      </c>
      <c r="F1239">
        <v>0</v>
      </c>
      <c r="G1239">
        <v>1</v>
      </c>
      <c r="H1239">
        <v>0</v>
      </c>
      <c r="I1239">
        <v>0</v>
      </c>
      <c r="J1239">
        <v>1</v>
      </c>
      <c r="K1239">
        <v>0.75</v>
      </c>
    </row>
    <row r="1240" spans="1:11" x14ac:dyDescent="0.2">
      <c r="A1240" t="s">
        <v>11</v>
      </c>
      <c r="B1240">
        <v>112</v>
      </c>
      <c r="C1240" t="s">
        <v>12</v>
      </c>
      <c r="D1240" t="s">
        <v>13</v>
      </c>
      <c r="E1240" t="s">
        <v>58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0.1</v>
      </c>
    </row>
    <row r="1241" spans="1:11" x14ac:dyDescent="0.2">
      <c r="A1241" t="s">
        <v>11</v>
      </c>
      <c r="B1241">
        <v>112</v>
      </c>
      <c r="C1241" t="s">
        <v>22</v>
      </c>
      <c r="D1241" t="s">
        <v>18</v>
      </c>
      <c r="E1241" t="s">
        <v>63</v>
      </c>
      <c r="F1241">
        <v>0</v>
      </c>
      <c r="G1241">
        <v>0</v>
      </c>
      <c r="H1241">
        <v>0</v>
      </c>
      <c r="I1241">
        <v>1</v>
      </c>
      <c r="J1241">
        <v>1</v>
      </c>
      <c r="K1241">
        <v>0.1</v>
      </c>
    </row>
    <row r="1242" spans="1:11" x14ac:dyDescent="0.2">
      <c r="A1242" t="s">
        <v>11</v>
      </c>
      <c r="B1242">
        <v>112</v>
      </c>
      <c r="C1242" t="s">
        <v>17</v>
      </c>
      <c r="D1242" t="s">
        <v>13</v>
      </c>
      <c r="E1242" t="s">
        <v>40</v>
      </c>
      <c r="F1242">
        <v>0</v>
      </c>
      <c r="G1242">
        <v>0</v>
      </c>
      <c r="H1242">
        <v>0</v>
      </c>
      <c r="I1242">
        <v>2</v>
      </c>
      <c r="J1242">
        <v>2</v>
      </c>
      <c r="K1242">
        <v>0.2</v>
      </c>
    </row>
    <row r="1243" spans="1:11" x14ac:dyDescent="0.2">
      <c r="A1243" t="s">
        <v>11</v>
      </c>
      <c r="B1243">
        <v>112</v>
      </c>
      <c r="C1243" t="s">
        <v>42</v>
      </c>
      <c r="D1243" t="s">
        <v>13</v>
      </c>
      <c r="E1243" t="s">
        <v>120</v>
      </c>
      <c r="F1243">
        <v>0</v>
      </c>
      <c r="G1243">
        <v>0</v>
      </c>
      <c r="H1243">
        <v>0</v>
      </c>
      <c r="I1243">
        <v>1</v>
      </c>
      <c r="J1243">
        <v>1</v>
      </c>
      <c r="K1243">
        <v>0.1</v>
      </c>
    </row>
    <row r="1244" spans="1:11" x14ac:dyDescent="0.2">
      <c r="A1244" t="s">
        <v>11</v>
      </c>
      <c r="B1244">
        <v>112</v>
      </c>
      <c r="C1244" t="s">
        <v>42</v>
      </c>
      <c r="D1244" t="s">
        <v>13</v>
      </c>
      <c r="E1244" t="s">
        <v>64</v>
      </c>
      <c r="F1244">
        <v>0</v>
      </c>
      <c r="G1244">
        <v>0</v>
      </c>
      <c r="H1244">
        <v>0</v>
      </c>
      <c r="I1244">
        <v>1</v>
      </c>
      <c r="J1244">
        <v>1</v>
      </c>
      <c r="K1244">
        <v>0.1</v>
      </c>
    </row>
    <row r="1245" spans="1:11" x14ac:dyDescent="0.2">
      <c r="A1245" t="s">
        <v>11</v>
      </c>
      <c r="B1245">
        <v>113</v>
      </c>
      <c r="C1245" t="s">
        <v>20</v>
      </c>
      <c r="D1245" t="s">
        <v>18</v>
      </c>
      <c r="E1245" t="s">
        <v>35</v>
      </c>
      <c r="F1245">
        <v>0</v>
      </c>
      <c r="G1245">
        <v>0</v>
      </c>
      <c r="H1245">
        <v>0</v>
      </c>
      <c r="I1245">
        <v>2</v>
      </c>
      <c r="J1245">
        <v>2</v>
      </c>
      <c r="K1245">
        <v>0.2</v>
      </c>
    </row>
    <row r="1246" spans="1:11" x14ac:dyDescent="0.2">
      <c r="A1246" t="s">
        <v>11</v>
      </c>
      <c r="B1246">
        <v>113</v>
      </c>
      <c r="C1246" t="s">
        <v>20</v>
      </c>
      <c r="D1246" t="s">
        <v>13</v>
      </c>
      <c r="E1246" t="s">
        <v>37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0.5</v>
      </c>
    </row>
    <row r="1247" spans="1:11" x14ac:dyDescent="0.2">
      <c r="A1247" t="s">
        <v>11</v>
      </c>
      <c r="B1247">
        <v>113</v>
      </c>
      <c r="C1247" t="s">
        <v>42</v>
      </c>
      <c r="D1247" t="s">
        <v>28</v>
      </c>
      <c r="E1247" t="s">
        <v>43</v>
      </c>
      <c r="F1247">
        <v>0</v>
      </c>
      <c r="G1247">
        <v>0</v>
      </c>
      <c r="H1247">
        <v>1</v>
      </c>
      <c r="I1247">
        <v>0</v>
      </c>
      <c r="J1247">
        <v>1</v>
      </c>
      <c r="K1247">
        <v>0.5</v>
      </c>
    </row>
    <row r="1248" spans="1:11" x14ac:dyDescent="0.2">
      <c r="A1248" t="s">
        <v>11</v>
      </c>
      <c r="B1248">
        <v>113</v>
      </c>
      <c r="C1248" t="s">
        <v>42</v>
      </c>
      <c r="D1248" t="s">
        <v>13</v>
      </c>
      <c r="E1248" t="s">
        <v>35</v>
      </c>
      <c r="F1248">
        <v>0</v>
      </c>
      <c r="G1248">
        <v>0</v>
      </c>
      <c r="H1248">
        <v>0</v>
      </c>
      <c r="I1248">
        <v>2</v>
      </c>
      <c r="J1248">
        <v>2</v>
      </c>
      <c r="K1248">
        <v>0.2</v>
      </c>
    </row>
    <row r="1249" spans="1:11" x14ac:dyDescent="0.2">
      <c r="A1249" t="s">
        <v>11</v>
      </c>
      <c r="B1249">
        <v>113</v>
      </c>
      <c r="C1249" t="s">
        <v>42</v>
      </c>
      <c r="D1249" t="s">
        <v>18</v>
      </c>
      <c r="E1249" t="s">
        <v>44</v>
      </c>
      <c r="F1249">
        <v>0</v>
      </c>
      <c r="G1249">
        <v>0</v>
      </c>
      <c r="H1249">
        <v>1</v>
      </c>
      <c r="I1249">
        <v>1</v>
      </c>
      <c r="J1249">
        <v>2</v>
      </c>
      <c r="K1249">
        <v>0.6</v>
      </c>
    </row>
    <row r="1250" spans="1:11" x14ac:dyDescent="0.2">
      <c r="A1250" t="s">
        <v>11</v>
      </c>
      <c r="B1250">
        <v>113</v>
      </c>
      <c r="C1250" t="s">
        <v>45</v>
      </c>
      <c r="D1250" t="s">
        <v>13</v>
      </c>
      <c r="E1250" t="s">
        <v>47</v>
      </c>
      <c r="F1250">
        <v>0</v>
      </c>
      <c r="G1250">
        <v>0</v>
      </c>
      <c r="H1250">
        <v>1</v>
      </c>
      <c r="I1250">
        <v>0</v>
      </c>
      <c r="J1250">
        <v>1</v>
      </c>
      <c r="K1250">
        <v>0.5</v>
      </c>
    </row>
    <row r="1251" spans="1:11" x14ac:dyDescent="0.2">
      <c r="A1251" t="s">
        <v>11</v>
      </c>
      <c r="B1251">
        <v>113</v>
      </c>
      <c r="C1251" t="s">
        <v>45</v>
      </c>
      <c r="D1251" t="s">
        <v>18</v>
      </c>
      <c r="E1251" t="s">
        <v>48</v>
      </c>
      <c r="F1251">
        <v>0</v>
      </c>
      <c r="G1251">
        <v>0</v>
      </c>
      <c r="H1251">
        <v>1</v>
      </c>
      <c r="I1251">
        <v>0</v>
      </c>
      <c r="J1251">
        <v>1</v>
      </c>
      <c r="K1251">
        <v>0.5</v>
      </c>
    </row>
    <row r="1252" spans="1:11" x14ac:dyDescent="0.2">
      <c r="A1252" t="s">
        <v>11</v>
      </c>
      <c r="B1252">
        <v>113</v>
      </c>
      <c r="C1252" t="s">
        <v>45</v>
      </c>
      <c r="D1252" t="s">
        <v>28</v>
      </c>
      <c r="E1252" t="s">
        <v>48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0.5</v>
      </c>
    </row>
    <row r="1253" spans="1:11" x14ac:dyDescent="0.2">
      <c r="A1253" t="s">
        <v>11</v>
      </c>
      <c r="B1253">
        <v>114</v>
      </c>
      <c r="C1253" t="s">
        <v>20</v>
      </c>
      <c r="D1253" t="s">
        <v>18</v>
      </c>
      <c r="E1253" t="s">
        <v>21</v>
      </c>
      <c r="F1253">
        <v>1</v>
      </c>
      <c r="G1253">
        <v>0</v>
      </c>
      <c r="H1253">
        <v>0</v>
      </c>
      <c r="I1253">
        <v>0</v>
      </c>
      <c r="J1253">
        <v>1</v>
      </c>
      <c r="K1253">
        <v>1</v>
      </c>
    </row>
    <row r="1254" spans="1:11" x14ac:dyDescent="0.2">
      <c r="A1254" t="s">
        <v>11</v>
      </c>
      <c r="B1254">
        <v>114</v>
      </c>
      <c r="C1254" t="s">
        <v>20</v>
      </c>
      <c r="D1254" t="s">
        <v>18</v>
      </c>
      <c r="E1254" t="s">
        <v>35</v>
      </c>
      <c r="F1254">
        <v>0</v>
      </c>
      <c r="G1254">
        <v>0</v>
      </c>
      <c r="H1254">
        <v>2</v>
      </c>
      <c r="I1254">
        <v>0</v>
      </c>
      <c r="J1254">
        <v>2</v>
      </c>
      <c r="K1254">
        <v>1</v>
      </c>
    </row>
    <row r="1255" spans="1:11" x14ac:dyDescent="0.2">
      <c r="A1255" t="s">
        <v>11</v>
      </c>
      <c r="B1255">
        <v>114</v>
      </c>
      <c r="C1255" t="s">
        <v>20</v>
      </c>
      <c r="D1255" t="s">
        <v>13</v>
      </c>
      <c r="E1255" t="s">
        <v>37</v>
      </c>
      <c r="F1255">
        <v>1</v>
      </c>
      <c r="G1255">
        <v>1</v>
      </c>
      <c r="H1255">
        <v>0</v>
      </c>
      <c r="I1255">
        <v>0</v>
      </c>
      <c r="J1255">
        <v>2</v>
      </c>
      <c r="K1255">
        <v>1.75</v>
      </c>
    </row>
    <row r="1256" spans="1:11" x14ac:dyDescent="0.2">
      <c r="A1256" t="s">
        <v>11</v>
      </c>
      <c r="B1256">
        <v>114</v>
      </c>
      <c r="C1256" t="s">
        <v>12</v>
      </c>
      <c r="D1256" t="s">
        <v>13</v>
      </c>
      <c r="E1256" t="s">
        <v>74</v>
      </c>
      <c r="F1256">
        <v>1</v>
      </c>
      <c r="G1256">
        <v>0</v>
      </c>
      <c r="H1256">
        <v>0</v>
      </c>
      <c r="I1256">
        <v>0</v>
      </c>
      <c r="J1256">
        <v>1</v>
      </c>
      <c r="K1256">
        <v>1</v>
      </c>
    </row>
    <row r="1257" spans="1:11" x14ac:dyDescent="0.2">
      <c r="A1257" t="s">
        <v>11</v>
      </c>
      <c r="B1257">
        <v>114</v>
      </c>
      <c r="C1257" t="s">
        <v>42</v>
      </c>
      <c r="D1257" t="s">
        <v>28</v>
      </c>
      <c r="E1257" t="s">
        <v>43</v>
      </c>
      <c r="F1257">
        <v>0</v>
      </c>
      <c r="G1257">
        <v>2</v>
      </c>
      <c r="H1257">
        <v>0</v>
      </c>
      <c r="I1257">
        <v>0</v>
      </c>
      <c r="J1257">
        <v>2</v>
      </c>
      <c r="K1257">
        <v>1.5</v>
      </c>
    </row>
    <row r="1258" spans="1:11" x14ac:dyDescent="0.2">
      <c r="A1258" t="s">
        <v>11</v>
      </c>
      <c r="B1258">
        <v>114</v>
      </c>
      <c r="C1258" t="s">
        <v>42</v>
      </c>
      <c r="D1258" t="s">
        <v>13</v>
      </c>
      <c r="E1258" t="s">
        <v>35</v>
      </c>
      <c r="F1258">
        <v>0</v>
      </c>
      <c r="G1258">
        <v>0</v>
      </c>
      <c r="H1258">
        <v>2</v>
      </c>
      <c r="I1258">
        <v>0</v>
      </c>
      <c r="J1258">
        <v>2</v>
      </c>
      <c r="K1258">
        <v>1</v>
      </c>
    </row>
    <row r="1259" spans="1:11" x14ac:dyDescent="0.2">
      <c r="A1259" t="s">
        <v>11</v>
      </c>
      <c r="B1259">
        <v>114</v>
      </c>
      <c r="C1259" t="s">
        <v>42</v>
      </c>
      <c r="D1259" t="s">
        <v>18</v>
      </c>
      <c r="E1259" t="s">
        <v>44</v>
      </c>
      <c r="F1259">
        <v>0</v>
      </c>
      <c r="G1259">
        <v>0</v>
      </c>
      <c r="H1259">
        <v>2</v>
      </c>
      <c r="I1259">
        <v>0</v>
      </c>
      <c r="J1259">
        <v>2</v>
      </c>
      <c r="K1259">
        <v>1</v>
      </c>
    </row>
    <row r="1260" spans="1:11" x14ac:dyDescent="0.2">
      <c r="A1260" t="s">
        <v>11</v>
      </c>
      <c r="B1260">
        <v>115</v>
      </c>
      <c r="C1260" t="s">
        <v>20</v>
      </c>
      <c r="D1260" t="s">
        <v>13</v>
      </c>
      <c r="E1260" t="s">
        <v>33</v>
      </c>
      <c r="F1260">
        <v>0</v>
      </c>
      <c r="G1260">
        <v>1</v>
      </c>
      <c r="H1260">
        <v>0</v>
      </c>
      <c r="I1260">
        <v>0</v>
      </c>
      <c r="J1260">
        <v>1</v>
      </c>
      <c r="K1260">
        <v>0.75</v>
      </c>
    </row>
    <row r="1261" spans="1:11" x14ac:dyDescent="0.2">
      <c r="A1261" t="s">
        <v>11</v>
      </c>
      <c r="B1261">
        <v>115</v>
      </c>
      <c r="C1261" t="s">
        <v>20</v>
      </c>
      <c r="D1261" t="s">
        <v>28</v>
      </c>
      <c r="E1261" t="s">
        <v>53</v>
      </c>
      <c r="F1261">
        <v>0</v>
      </c>
      <c r="G1261">
        <v>0</v>
      </c>
      <c r="H1261">
        <v>0</v>
      </c>
      <c r="I1261">
        <v>1</v>
      </c>
      <c r="J1261">
        <v>1</v>
      </c>
      <c r="K1261">
        <v>0.1</v>
      </c>
    </row>
    <row r="1262" spans="1:11" x14ac:dyDescent="0.2">
      <c r="A1262" t="s">
        <v>11</v>
      </c>
      <c r="B1262">
        <v>115</v>
      </c>
      <c r="C1262" t="s">
        <v>20</v>
      </c>
      <c r="D1262" t="s">
        <v>18</v>
      </c>
      <c r="E1262" t="s">
        <v>35</v>
      </c>
      <c r="F1262">
        <v>0</v>
      </c>
      <c r="G1262">
        <v>1</v>
      </c>
      <c r="H1262">
        <v>0</v>
      </c>
      <c r="I1262">
        <v>0</v>
      </c>
      <c r="J1262">
        <v>1</v>
      </c>
      <c r="K1262">
        <v>0.75</v>
      </c>
    </row>
    <row r="1263" spans="1:11" x14ac:dyDescent="0.2">
      <c r="A1263" t="s">
        <v>11</v>
      </c>
      <c r="B1263">
        <v>115</v>
      </c>
      <c r="C1263" t="s">
        <v>20</v>
      </c>
      <c r="D1263" t="s">
        <v>13</v>
      </c>
      <c r="E1263" t="s">
        <v>37</v>
      </c>
      <c r="F1263">
        <v>2</v>
      </c>
      <c r="G1263">
        <v>2</v>
      </c>
      <c r="H1263">
        <v>0</v>
      </c>
      <c r="I1263">
        <v>0</v>
      </c>
      <c r="J1263">
        <v>4</v>
      </c>
      <c r="K1263">
        <v>3.5</v>
      </c>
    </row>
    <row r="1264" spans="1:11" x14ac:dyDescent="0.2">
      <c r="A1264" t="s">
        <v>11</v>
      </c>
      <c r="B1264">
        <v>115</v>
      </c>
      <c r="C1264" t="s">
        <v>12</v>
      </c>
      <c r="D1264" t="s">
        <v>13</v>
      </c>
      <c r="E1264" t="s">
        <v>74</v>
      </c>
      <c r="F1264">
        <v>2</v>
      </c>
      <c r="G1264">
        <v>0</v>
      </c>
      <c r="H1264">
        <v>0</v>
      </c>
      <c r="I1264">
        <v>0</v>
      </c>
      <c r="J1264">
        <v>2</v>
      </c>
      <c r="K1264">
        <v>2</v>
      </c>
    </row>
    <row r="1265" spans="1:11" x14ac:dyDescent="0.2">
      <c r="A1265" t="s">
        <v>11</v>
      </c>
      <c r="B1265">
        <v>115</v>
      </c>
      <c r="C1265" t="s">
        <v>12</v>
      </c>
      <c r="D1265" t="s">
        <v>13</v>
      </c>
      <c r="E1265" t="s">
        <v>58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0.1</v>
      </c>
    </row>
    <row r="1266" spans="1:11" x14ac:dyDescent="0.2">
      <c r="A1266" t="s">
        <v>11</v>
      </c>
      <c r="B1266">
        <v>115</v>
      </c>
      <c r="C1266" t="s">
        <v>17</v>
      </c>
      <c r="D1266" t="s">
        <v>13</v>
      </c>
      <c r="E1266" t="s">
        <v>40</v>
      </c>
      <c r="F1266">
        <v>0</v>
      </c>
      <c r="G1266">
        <v>0</v>
      </c>
      <c r="H1266">
        <v>0</v>
      </c>
      <c r="I1266">
        <v>2</v>
      </c>
      <c r="J1266">
        <v>2</v>
      </c>
      <c r="K1266">
        <v>0.2</v>
      </c>
    </row>
    <row r="1267" spans="1:11" x14ac:dyDescent="0.2">
      <c r="A1267" t="s">
        <v>11</v>
      </c>
      <c r="B1267">
        <v>115</v>
      </c>
      <c r="C1267" t="s">
        <v>42</v>
      </c>
      <c r="D1267" t="s">
        <v>28</v>
      </c>
      <c r="E1267" t="s">
        <v>43</v>
      </c>
      <c r="F1267">
        <v>0</v>
      </c>
      <c r="G1267">
        <v>4</v>
      </c>
      <c r="H1267">
        <v>0</v>
      </c>
      <c r="I1267">
        <v>0</v>
      </c>
      <c r="J1267">
        <v>4</v>
      </c>
      <c r="K1267">
        <v>3</v>
      </c>
    </row>
    <row r="1268" spans="1:11" x14ac:dyDescent="0.2">
      <c r="A1268" t="s">
        <v>11</v>
      </c>
      <c r="B1268">
        <v>115</v>
      </c>
      <c r="C1268" t="s">
        <v>42</v>
      </c>
      <c r="D1268" t="s">
        <v>13</v>
      </c>
      <c r="E1268" t="s">
        <v>35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0.75</v>
      </c>
    </row>
    <row r="1269" spans="1:11" x14ac:dyDescent="0.2">
      <c r="A1269" t="s">
        <v>11</v>
      </c>
      <c r="B1269">
        <v>115</v>
      </c>
      <c r="C1269" t="s">
        <v>42</v>
      </c>
      <c r="D1269" t="s">
        <v>18</v>
      </c>
      <c r="E1269" t="s">
        <v>44</v>
      </c>
      <c r="F1269">
        <v>0</v>
      </c>
      <c r="G1269">
        <v>1</v>
      </c>
      <c r="H1269">
        <v>0</v>
      </c>
      <c r="I1269">
        <v>0</v>
      </c>
      <c r="J1269">
        <v>1</v>
      </c>
      <c r="K1269">
        <v>0.75</v>
      </c>
    </row>
    <row r="1270" spans="1:11" x14ac:dyDescent="0.2">
      <c r="A1270" t="s">
        <v>11</v>
      </c>
      <c r="B1270">
        <v>115</v>
      </c>
      <c r="C1270" t="s">
        <v>45</v>
      </c>
      <c r="D1270" t="s">
        <v>13</v>
      </c>
      <c r="E1270" t="s">
        <v>47</v>
      </c>
      <c r="F1270">
        <v>1</v>
      </c>
      <c r="G1270">
        <v>0</v>
      </c>
      <c r="H1270">
        <v>0</v>
      </c>
      <c r="I1270">
        <v>0</v>
      </c>
      <c r="J1270">
        <v>1</v>
      </c>
      <c r="K1270">
        <v>1</v>
      </c>
    </row>
    <row r="1271" spans="1:11" x14ac:dyDescent="0.2">
      <c r="A1271" t="s">
        <v>11</v>
      </c>
      <c r="B1271">
        <v>115</v>
      </c>
      <c r="C1271" t="s">
        <v>45</v>
      </c>
      <c r="D1271" t="s">
        <v>18</v>
      </c>
      <c r="E1271" t="s">
        <v>48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0.5</v>
      </c>
    </row>
    <row r="1272" spans="1:11" x14ac:dyDescent="0.2">
      <c r="A1272" t="s">
        <v>11</v>
      </c>
      <c r="B1272">
        <v>115</v>
      </c>
      <c r="C1272" t="s">
        <v>45</v>
      </c>
      <c r="D1272" t="s">
        <v>28</v>
      </c>
      <c r="E1272" t="s">
        <v>48</v>
      </c>
      <c r="F1272">
        <v>0</v>
      </c>
      <c r="G1272">
        <v>0</v>
      </c>
      <c r="H1272">
        <v>1</v>
      </c>
      <c r="I1272">
        <v>0</v>
      </c>
      <c r="J1272">
        <v>1</v>
      </c>
      <c r="K1272">
        <v>0.5</v>
      </c>
    </row>
    <row r="1273" spans="1:11" x14ac:dyDescent="0.2">
      <c r="A1273" t="s">
        <v>11</v>
      </c>
      <c r="B1273">
        <v>116</v>
      </c>
      <c r="C1273" t="s">
        <v>20</v>
      </c>
      <c r="D1273" t="s">
        <v>18</v>
      </c>
      <c r="E1273" t="s">
        <v>35</v>
      </c>
      <c r="F1273">
        <v>0</v>
      </c>
      <c r="G1273">
        <v>0</v>
      </c>
      <c r="H1273">
        <v>0</v>
      </c>
      <c r="I1273">
        <v>2</v>
      </c>
      <c r="J1273">
        <v>2</v>
      </c>
      <c r="K1273">
        <v>0.2</v>
      </c>
    </row>
    <row r="1274" spans="1:11" x14ac:dyDescent="0.2">
      <c r="A1274" t="s">
        <v>11</v>
      </c>
      <c r="B1274">
        <v>116</v>
      </c>
      <c r="C1274" t="s">
        <v>20</v>
      </c>
      <c r="D1274" t="s">
        <v>13</v>
      </c>
      <c r="E1274" t="s">
        <v>37</v>
      </c>
      <c r="F1274">
        <v>0</v>
      </c>
      <c r="G1274">
        <v>0</v>
      </c>
      <c r="H1274">
        <v>0</v>
      </c>
      <c r="I1274">
        <v>1</v>
      </c>
      <c r="J1274">
        <v>1</v>
      </c>
      <c r="K1274">
        <v>0.1</v>
      </c>
    </row>
    <row r="1275" spans="1:11" x14ac:dyDescent="0.2">
      <c r="A1275" t="s">
        <v>11</v>
      </c>
      <c r="B1275">
        <v>116</v>
      </c>
      <c r="C1275" t="s">
        <v>22</v>
      </c>
      <c r="D1275" t="s">
        <v>18</v>
      </c>
      <c r="E1275" t="s">
        <v>63</v>
      </c>
      <c r="F1275">
        <v>0</v>
      </c>
      <c r="G1275">
        <v>1</v>
      </c>
      <c r="H1275">
        <v>1</v>
      </c>
      <c r="I1275">
        <v>1</v>
      </c>
      <c r="J1275">
        <v>3</v>
      </c>
      <c r="K1275">
        <v>1.45</v>
      </c>
    </row>
    <row r="1276" spans="1:11" x14ac:dyDescent="0.2">
      <c r="A1276" t="s">
        <v>11</v>
      </c>
      <c r="B1276">
        <v>116</v>
      </c>
      <c r="C1276" t="s">
        <v>42</v>
      </c>
      <c r="D1276" t="s">
        <v>28</v>
      </c>
      <c r="E1276" t="s">
        <v>43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0.6</v>
      </c>
    </row>
    <row r="1277" spans="1:11" x14ac:dyDescent="0.2">
      <c r="A1277" t="s">
        <v>11</v>
      </c>
      <c r="B1277">
        <v>116</v>
      </c>
      <c r="C1277" t="s">
        <v>42</v>
      </c>
      <c r="D1277" t="s">
        <v>28</v>
      </c>
      <c r="E1277" t="s">
        <v>51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0.5</v>
      </c>
    </row>
    <row r="1278" spans="1:11" x14ac:dyDescent="0.2">
      <c r="A1278" t="s">
        <v>11</v>
      </c>
      <c r="B1278">
        <v>116</v>
      </c>
      <c r="C1278" t="s">
        <v>42</v>
      </c>
      <c r="D1278" t="s">
        <v>13</v>
      </c>
      <c r="E1278" t="s">
        <v>35</v>
      </c>
      <c r="F1278">
        <v>0</v>
      </c>
      <c r="G1278">
        <v>0</v>
      </c>
      <c r="H1278">
        <v>0</v>
      </c>
      <c r="I1278">
        <v>2</v>
      </c>
      <c r="J1278">
        <v>2</v>
      </c>
      <c r="K1278">
        <v>0.2</v>
      </c>
    </row>
    <row r="1279" spans="1:11" x14ac:dyDescent="0.2">
      <c r="A1279" t="s">
        <v>11</v>
      </c>
      <c r="B1279">
        <v>116</v>
      </c>
      <c r="C1279" t="s">
        <v>42</v>
      </c>
      <c r="D1279" t="s">
        <v>18</v>
      </c>
      <c r="E1279" t="s">
        <v>44</v>
      </c>
      <c r="F1279">
        <v>0</v>
      </c>
      <c r="G1279">
        <v>0</v>
      </c>
      <c r="H1279">
        <v>0</v>
      </c>
      <c r="I1279">
        <v>2</v>
      </c>
      <c r="J1279">
        <v>2</v>
      </c>
      <c r="K1279">
        <v>0.2</v>
      </c>
    </row>
    <row r="1280" spans="1:11" x14ac:dyDescent="0.2">
      <c r="A1280" t="s">
        <v>11</v>
      </c>
      <c r="B1280">
        <v>116</v>
      </c>
      <c r="C1280" t="s">
        <v>42</v>
      </c>
      <c r="D1280" t="s">
        <v>13</v>
      </c>
      <c r="E1280" t="s">
        <v>64</v>
      </c>
      <c r="F1280">
        <v>1</v>
      </c>
      <c r="G1280">
        <v>0</v>
      </c>
      <c r="H1280">
        <v>1</v>
      </c>
      <c r="I1280">
        <v>1</v>
      </c>
      <c r="J1280">
        <v>3</v>
      </c>
      <c r="K1280">
        <v>1.6</v>
      </c>
    </row>
    <row r="1281" spans="1:11" x14ac:dyDescent="0.2">
      <c r="A1281" t="s">
        <v>11</v>
      </c>
      <c r="B1281">
        <v>117</v>
      </c>
      <c r="C1281" t="s">
        <v>20</v>
      </c>
      <c r="D1281" t="s">
        <v>13</v>
      </c>
      <c r="E1281" t="s">
        <v>33</v>
      </c>
      <c r="F1281">
        <v>0</v>
      </c>
      <c r="G1281">
        <v>2</v>
      </c>
      <c r="H1281">
        <v>0</v>
      </c>
      <c r="I1281">
        <v>0</v>
      </c>
      <c r="J1281">
        <v>2</v>
      </c>
      <c r="K1281">
        <v>1.5</v>
      </c>
    </row>
    <row r="1282" spans="1:11" x14ac:dyDescent="0.2">
      <c r="A1282" t="s">
        <v>11</v>
      </c>
      <c r="B1282">
        <v>117</v>
      </c>
      <c r="C1282" t="s">
        <v>20</v>
      </c>
      <c r="D1282" t="s">
        <v>13</v>
      </c>
      <c r="E1282" t="s">
        <v>37</v>
      </c>
      <c r="F1282">
        <v>0</v>
      </c>
      <c r="G1282">
        <v>1</v>
      </c>
      <c r="H1282">
        <v>0</v>
      </c>
      <c r="I1282">
        <v>0</v>
      </c>
      <c r="J1282">
        <v>1</v>
      </c>
      <c r="K1282">
        <v>0.75</v>
      </c>
    </row>
    <row r="1283" spans="1:11" x14ac:dyDescent="0.2">
      <c r="A1283" t="s">
        <v>11</v>
      </c>
      <c r="B1283">
        <v>117</v>
      </c>
      <c r="C1283" t="s">
        <v>12</v>
      </c>
      <c r="D1283" t="s">
        <v>13</v>
      </c>
      <c r="E1283" t="s">
        <v>58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0.1</v>
      </c>
    </row>
    <row r="1284" spans="1:11" x14ac:dyDescent="0.2">
      <c r="A1284" t="s">
        <v>11</v>
      </c>
      <c r="B1284">
        <v>117</v>
      </c>
      <c r="C1284" t="s">
        <v>42</v>
      </c>
      <c r="D1284" t="s">
        <v>28</v>
      </c>
      <c r="E1284" t="s">
        <v>43</v>
      </c>
      <c r="F1284">
        <v>0</v>
      </c>
      <c r="G1284">
        <v>1</v>
      </c>
      <c r="H1284">
        <v>0</v>
      </c>
      <c r="I1284">
        <v>0</v>
      </c>
      <c r="J1284">
        <v>1</v>
      </c>
      <c r="K1284">
        <v>0.75</v>
      </c>
    </row>
    <row r="1285" spans="1:11" x14ac:dyDescent="0.2">
      <c r="A1285" t="s">
        <v>11</v>
      </c>
      <c r="B1285">
        <v>117</v>
      </c>
      <c r="C1285" t="s">
        <v>45</v>
      </c>
      <c r="D1285" t="s">
        <v>13</v>
      </c>
      <c r="E1285" t="s">
        <v>47</v>
      </c>
      <c r="F1285">
        <v>0</v>
      </c>
      <c r="G1285">
        <v>2</v>
      </c>
      <c r="H1285">
        <v>0</v>
      </c>
      <c r="I1285">
        <v>0</v>
      </c>
      <c r="J1285">
        <v>2</v>
      </c>
      <c r="K1285">
        <v>1.5</v>
      </c>
    </row>
    <row r="1286" spans="1:11" x14ac:dyDescent="0.2">
      <c r="A1286" t="s">
        <v>11</v>
      </c>
      <c r="B1286">
        <v>117</v>
      </c>
      <c r="C1286" t="s">
        <v>45</v>
      </c>
      <c r="D1286" t="s">
        <v>18</v>
      </c>
      <c r="E1286" t="s">
        <v>48</v>
      </c>
      <c r="F1286">
        <v>0</v>
      </c>
      <c r="G1286">
        <v>0</v>
      </c>
      <c r="H1286">
        <v>2</v>
      </c>
      <c r="I1286">
        <v>0</v>
      </c>
      <c r="J1286">
        <v>2</v>
      </c>
      <c r="K1286">
        <v>1</v>
      </c>
    </row>
    <row r="1287" spans="1:11" x14ac:dyDescent="0.2">
      <c r="A1287" t="s">
        <v>11</v>
      </c>
      <c r="B1287">
        <v>117</v>
      </c>
      <c r="C1287" t="s">
        <v>45</v>
      </c>
      <c r="D1287" t="s">
        <v>28</v>
      </c>
      <c r="E1287" t="s">
        <v>48</v>
      </c>
      <c r="F1287">
        <v>0</v>
      </c>
      <c r="G1287">
        <v>0</v>
      </c>
      <c r="H1287">
        <v>2</v>
      </c>
      <c r="I1287">
        <v>0</v>
      </c>
      <c r="J1287">
        <v>2</v>
      </c>
      <c r="K1287">
        <v>1</v>
      </c>
    </row>
    <row r="1288" spans="1:11" x14ac:dyDescent="0.2">
      <c r="A1288" t="s">
        <v>11</v>
      </c>
      <c r="B1288">
        <v>118</v>
      </c>
      <c r="C1288" t="s">
        <v>20</v>
      </c>
      <c r="D1288" t="s">
        <v>18</v>
      </c>
      <c r="E1288" t="s">
        <v>35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0.75</v>
      </c>
    </row>
    <row r="1289" spans="1:11" x14ac:dyDescent="0.2">
      <c r="A1289" t="s">
        <v>11</v>
      </c>
      <c r="B1289">
        <v>118</v>
      </c>
      <c r="C1289" t="s">
        <v>12</v>
      </c>
      <c r="D1289" t="s">
        <v>13</v>
      </c>
      <c r="E1289" t="s">
        <v>65</v>
      </c>
      <c r="F1289">
        <v>0</v>
      </c>
      <c r="G1289">
        <v>0</v>
      </c>
      <c r="H1289">
        <v>1</v>
      </c>
      <c r="I1289">
        <v>0</v>
      </c>
      <c r="J1289">
        <v>1</v>
      </c>
      <c r="K1289">
        <v>0.5</v>
      </c>
    </row>
    <row r="1290" spans="1:11" x14ac:dyDescent="0.2">
      <c r="A1290" t="s">
        <v>11</v>
      </c>
      <c r="B1290">
        <v>118</v>
      </c>
      <c r="C1290" t="s">
        <v>12</v>
      </c>
      <c r="D1290" t="s">
        <v>13</v>
      </c>
      <c r="E1290" t="s">
        <v>74</v>
      </c>
      <c r="F1290">
        <v>1</v>
      </c>
      <c r="G1290">
        <v>0</v>
      </c>
      <c r="H1290">
        <v>0</v>
      </c>
      <c r="I1290">
        <v>0</v>
      </c>
      <c r="J1290">
        <v>1</v>
      </c>
      <c r="K1290">
        <v>1</v>
      </c>
    </row>
    <row r="1291" spans="1:11" x14ac:dyDescent="0.2">
      <c r="A1291" t="s">
        <v>11</v>
      </c>
      <c r="B1291">
        <v>118</v>
      </c>
      <c r="C1291" t="s">
        <v>22</v>
      </c>
      <c r="D1291" t="s">
        <v>13</v>
      </c>
      <c r="E1291" t="s">
        <v>65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0.5</v>
      </c>
    </row>
    <row r="1292" spans="1:11" x14ac:dyDescent="0.2">
      <c r="A1292" t="s">
        <v>11</v>
      </c>
      <c r="B1292">
        <v>118</v>
      </c>
      <c r="C1292" t="s">
        <v>22</v>
      </c>
      <c r="D1292" t="s">
        <v>18</v>
      </c>
      <c r="E1292" t="s">
        <v>63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0.6</v>
      </c>
    </row>
    <row r="1293" spans="1:11" x14ac:dyDescent="0.2">
      <c r="A1293" t="s">
        <v>11</v>
      </c>
      <c r="B1293">
        <v>118</v>
      </c>
      <c r="C1293" t="s">
        <v>42</v>
      </c>
      <c r="D1293" t="s">
        <v>13</v>
      </c>
      <c r="E1293" t="s">
        <v>35</v>
      </c>
      <c r="F1293">
        <v>0</v>
      </c>
      <c r="G1293">
        <v>1</v>
      </c>
      <c r="H1293">
        <v>0</v>
      </c>
      <c r="I1293">
        <v>0</v>
      </c>
      <c r="J1293">
        <v>1</v>
      </c>
      <c r="K1293">
        <v>0.75</v>
      </c>
    </row>
    <row r="1294" spans="1:11" x14ac:dyDescent="0.2">
      <c r="A1294" t="s">
        <v>11</v>
      </c>
      <c r="B1294">
        <v>118</v>
      </c>
      <c r="C1294" t="s">
        <v>42</v>
      </c>
      <c r="D1294" t="s">
        <v>18</v>
      </c>
      <c r="E1294" t="s">
        <v>44</v>
      </c>
      <c r="F1294">
        <v>1</v>
      </c>
      <c r="G1294">
        <v>0</v>
      </c>
      <c r="H1294">
        <v>0</v>
      </c>
      <c r="I1294">
        <v>0</v>
      </c>
      <c r="J1294">
        <v>1</v>
      </c>
      <c r="K1294">
        <v>1</v>
      </c>
    </row>
    <row r="1295" spans="1:11" x14ac:dyDescent="0.2">
      <c r="A1295" t="s">
        <v>11</v>
      </c>
      <c r="B1295">
        <v>118</v>
      </c>
      <c r="C1295" t="s">
        <v>42</v>
      </c>
      <c r="D1295" t="s">
        <v>13</v>
      </c>
      <c r="E1295" t="s">
        <v>64</v>
      </c>
      <c r="F1295">
        <v>0</v>
      </c>
      <c r="G1295">
        <v>0</v>
      </c>
      <c r="H1295">
        <v>1</v>
      </c>
      <c r="I1295">
        <v>0</v>
      </c>
      <c r="J1295">
        <v>1</v>
      </c>
      <c r="K1295">
        <v>0.5</v>
      </c>
    </row>
    <row r="1296" spans="1:11" x14ac:dyDescent="0.2">
      <c r="A1296" t="s">
        <v>11</v>
      </c>
      <c r="B1296">
        <v>120</v>
      </c>
      <c r="C1296" t="s">
        <v>20</v>
      </c>
      <c r="D1296" t="s">
        <v>13</v>
      </c>
      <c r="E1296" t="s">
        <v>27</v>
      </c>
      <c r="F1296">
        <v>0</v>
      </c>
      <c r="G1296">
        <v>1</v>
      </c>
      <c r="H1296">
        <v>0</v>
      </c>
      <c r="I1296">
        <v>0</v>
      </c>
      <c r="J1296">
        <v>1</v>
      </c>
      <c r="K1296">
        <v>0.75</v>
      </c>
    </row>
    <row r="1297" spans="1:11" x14ac:dyDescent="0.2">
      <c r="A1297" t="s">
        <v>11</v>
      </c>
      <c r="B1297">
        <v>120</v>
      </c>
      <c r="C1297" t="s">
        <v>20</v>
      </c>
      <c r="D1297" t="s">
        <v>18</v>
      </c>
      <c r="E1297" t="s">
        <v>27</v>
      </c>
      <c r="F1297">
        <v>0</v>
      </c>
      <c r="G1297">
        <v>1</v>
      </c>
      <c r="H1297">
        <v>0</v>
      </c>
      <c r="I1297">
        <v>0</v>
      </c>
      <c r="J1297">
        <v>1</v>
      </c>
      <c r="K1297">
        <v>0.75</v>
      </c>
    </row>
    <row r="1298" spans="1:11" x14ac:dyDescent="0.2">
      <c r="A1298" t="s">
        <v>11</v>
      </c>
      <c r="B1298">
        <v>120</v>
      </c>
      <c r="C1298" t="s">
        <v>20</v>
      </c>
      <c r="D1298" t="s">
        <v>28</v>
      </c>
      <c r="E1298" t="s">
        <v>29</v>
      </c>
      <c r="F1298">
        <v>0</v>
      </c>
      <c r="G1298">
        <v>0</v>
      </c>
      <c r="H1298">
        <v>1</v>
      </c>
      <c r="I1298">
        <v>0</v>
      </c>
      <c r="J1298">
        <v>1</v>
      </c>
      <c r="K1298">
        <v>0.5</v>
      </c>
    </row>
    <row r="1299" spans="1:11" x14ac:dyDescent="0.2">
      <c r="A1299" t="s">
        <v>11</v>
      </c>
      <c r="B1299">
        <v>120</v>
      </c>
      <c r="C1299" t="s">
        <v>20</v>
      </c>
      <c r="D1299" t="s">
        <v>18</v>
      </c>
      <c r="E1299" t="s">
        <v>57</v>
      </c>
      <c r="F1299">
        <v>0</v>
      </c>
      <c r="G1299">
        <v>2</v>
      </c>
      <c r="H1299">
        <v>3</v>
      </c>
      <c r="I1299">
        <v>1</v>
      </c>
      <c r="J1299">
        <v>6</v>
      </c>
      <c r="K1299">
        <v>3.1</v>
      </c>
    </row>
    <row r="1300" spans="1:11" x14ac:dyDescent="0.2">
      <c r="A1300" t="s">
        <v>11</v>
      </c>
      <c r="B1300">
        <v>120</v>
      </c>
      <c r="C1300" t="s">
        <v>20</v>
      </c>
      <c r="D1300" t="s">
        <v>13</v>
      </c>
      <c r="E1300" t="s">
        <v>73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0.1</v>
      </c>
    </row>
    <row r="1301" spans="1:11" x14ac:dyDescent="0.2">
      <c r="A1301" t="s">
        <v>11</v>
      </c>
      <c r="B1301">
        <v>120</v>
      </c>
      <c r="C1301" t="s">
        <v>20</v>
      </c>
      <c r="D1301" t="s">
        <v>13</v>
      </c>
      <c r="E1301" t="s">
        <v>33</v>
      </c>
      <c r="F1301">
        <v>0</v>
      </c>
      <c r="G1301">
        <v>0</v>
      </c>
      <c r="H1301">
        <v>2</v>
      </c>
      <c r="I1301">
        <v>0</v>
      </c>
      <c r="J1301">
        <v>2</v>
      </c>
      <c r="K1301">
        <v>1</v>
      </c>
    </row>
    <row r="1302" spans="1:11" x14ac:dyDescent="0.2">
      <c r="A1302" t="s">
        <v>11</v>
      </c>
      <c r="B1302">
        <v>120</v>
      </c>
      <c r="C1302" t="s">
        <v>20</v>
      </c>
      <c r="D1302" t="s">
        <v>13</v>
      </c>
      <c r="E1302" t="s">
        <v>89</v>
      </c>
      <c r="F1302">
        <v>0</v>
      </c>
      <c r="G1302">
        <v>0</v>
      </c>
      <c r="H1302">
        <v>2</v>
      </c>
      <c r="I1302">
        <v>0</v>
      </c>
      <c r="J1302">
        <v>2</v>
      </c>
      <c r="K1302">
        <v>1</v>
      </c>
    </row>
    <row r="1303" spans="1:11" x14ac:dyDescent="0.2">
      <c r="A1303" t="s">
        <v>11</v>
      </c>
      <c r="B1303">
        <v>120</v>
      </c>
      <c r="C1303" t="s">
        <v>20</v>
      </c>
      <c r="D1303" t="s">
        <v>18</v>
      </c>
      <c r="E1303" t="s">
        <v>35</v>
      </c>
      <c r="F1303">
        <v>0</v>
      </c>
      <c r="G1303">
        <v>1</v>
      </c>
      <c r="H1303">
        <v>1</v>
      </c>
      <c r="I1303">
        <v>2</v>
      </c>
      <c r="J1303">
        <v>4</v>
      </c>
      <c r="K1303">
        <v>1.45</v>
      </c>
    </row>
    <row r="1304" spans="1:11" x14ac:dyDescent="0.2">
      <c r="A1304" t="s">
        <v>11</v>
      </c>
      <c r="B1304">
        <v>120</v>
      </c>
      <c r="C1304" t="s">
        <v>12</v>
      </c>
      <c r="D1304" t="s">
        <v>13</v>
      </c>
      <c r="E1304" t="s">
        <v>14</v>
      </c>
      <c r="F1304">
        <v>0</v>
      </c>
      <c r="G1304">
        <v>0</v>
      </c>
      <c r="H1304">
        <v>1</v>
      </c>
      <c r="I1304">
        <v>0</v>
      </c>
      <c r="J1304">
        <v>1</v>
      </c>
      <c r="K1304">
        <v>0.5</v>
      </c>
    </row>
    <row r="1305" spans="1:11" x14ac:dyDescent="0.2">
      <c r="A1305" t="s">
        <v>11</v>
      </c>
      <c r="B1305">
        <v>120</v>
      </c>
      <c r="C1305" t="s">
        <v>12</v>
      </c>
      <c r="D1305" t="s">
        <v>13</v>
      </c>
      <c r="E1305" t="s">
        <v>101</v>
      </c>
      <c r="F1305">
        <v>2</v>
      </c>
      <c r="G1305">
        <v>0</v>
      </c>
      <c r="H1305">
        <v>0</v>
      </c>
      <c r="I1305">
        <v>0</v>
      </c>
      <c r="J1305">
        <v>2</v>
      </c>
      <c r="K1305">
        <v>2</v>
      </c>
    </row>
    <row r="1306" spans="1:11" x14ac:dyDescent="0.2">
      <c r="A1306" t="s">
        <v>11</v>
      </c>
      <c r="B1306">
        <v>120</v>
      </c>
      <c r="C1306" t="s">
        <v>15</v>
      </c>
      <c r="D1306" t="s">
        <v>28</v>
      </c>
      <c r="E1306" t="s">
        <v>57</v>
      </c>
      <c r="F1306">
        <v>0</v>
      </c>
      <c r="G1306">
        <v>2</v>
      </c>
      <c r="H1306">
        <v>3</v>
      </c>
      <c r="I1306">
        <v>1</v>
      </c>
      <c r="J1306">
        <v>6</v>
      </c>
      <c r="K1306">
        <v>3.1</v>
      </c>
    </row>
    <row r="1307" spans="1:11" x14ac:dyDescent="0.2">
      <c r="A1307" t="s">
        <v>11</v>
      </c>
      <c r="B1307">
        <v>120</v>
      </c>
      <c r="C1307" t="s">
        <v>15</v>
      </c>
      <c r="D1307" t="s">
        <v>18</v>
      </c>
      <c r="E1307" t="s">
        <v>138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0.1</v>
      </c>
    </row>
    <row r="1308" spans="1:11" x14ac:dyDescent="0.2">
      <c r="A1308" t="s">
        <v>11</v>
      </c>
      <c r="B1308">
        <v>120</v>
      </c>
      <c r="C1308" t="s">
        <v>15</v>
      </c>
      <c r="D1308" t="s">
        <v>13</v>
      </c>
      <c r="E1308" t="s">
        <v>111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0.5</v>
      </c>
    </row>
    <row r="1309" spans="1:11" x14ac:dyDescent="0.2">
      <c r="A1309" t="s">
        <v>11</v>
      </c>
      <c r="B1309">
        <v>120</v>
      </c>
      <c r="C1309" t="s">
        <v>15</v>
      </c>
      <c r="D1309" t="s">
        <v>18</v>
      </c>
      <c r="E1309" t="s">
        <v>111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0.5</v>
      </c>
    </row>
    <row r="1310" spans="1:11" x14ac:dyDescent="0.2">
      <c r="A1310" t="s">
        <v>11</v>
      </c>
      <c r="B1310">
        <v>120</v>
      </c>
      <c r="C1310" t="s">
        <v>15</v>
      </c>
      <c r="D1310" t="s">
        <v>13</v>
      </c>
      <c r="E1310" t="s">
        <v>16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0.1</v>
      </c>
    </row>
    <row r="1311" spans="1:11" x14ac:dyDescent="0.2">
      <c r="A1311" t="s">
        <v>11</v>
      </c>
      <c r="B1311">
        <v>120</v>
      </c>
      <c r="C1311" t="s">
        <v>15</v>
      </c>
      <c r="D1311" t="s">
        <v>13</v>
      </c>
      <c r="E1311" t="s">
        <v>139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1</v>
      </c>
    </row>
    <row r="1312" spans="1:11" x14ac:dyDescent="0.2">
      <c r="A1312" t="s">
        <v>11</v>
      </c>
      <c r="B1312">
        <v>120</v>
      </c>
      <c r="C1312" t="s">
        <v>22</v>
      </c>
      <c r="D1312" t="s">
        <v>13</v>
      </c>
      <c r="E1312" t="s">
        <v>54</v>
      </c>
      <c r="F1312">
        <v>1</v>
      </c>
      <c r="G1312">
        <v>0</v>
      </c>
      <c r="H1312">
        <v>0</v>
      </c>
      <c r="I1312">
        <v>5</v>
      </c>
      <c r="J1312">
        <v>6</v>
      </c>
      <c r="K1312">
        <v>1.5</v>
      </c>
    </row>
    <row r="1313" spans="1:11" x14ac:dyDescent="0.2">
      <c r="A1313" t="s">
        <v>11</v>
      </c>
      <c r="B1313">
        <v>120</v>
      </c>
      <c r="C1313" t="s">
        <v>22</v>
      </c>
      <c r="D1313" t="s">
        <v>18</v>
      </c>
      <c r="E1313" t="s">
        <v>63</v>
      </c>
      <c r="F1313">
        <v>0</v>
      </c>
      <c r="G1313">
        <v>0</v>
      </c>
      <c r="H1313">
        <v>1</v>
      </c>
      <c r="I1313">
        <v>0</v>
      </c>
      <c r="J1313">
        <v>1</v>
      </c>
      <c r="K1313">
        <v>0.5</v>
      </c>
    </row>
    <row r="1314" spans="1:11" x14ac:dyDescent="0.2">
      <c r="A1314" t="s">
        <v>11</v>
      </c>
      <c r="B1314">
        <v>120</v>
      </c>
      <c r="C1314" t="s">
        <v>17</v>
      </c>
      <c r="D1314" t="s">
        <v>18</v>
      </c>
      <c r="E1314" t="s">
        <v>82</v>
      </c>
      <c r="F1314">
        <v>0</v>
      </c>
      <c r="G1314">
        <v>1</v>
      </c>
      <c r="H1314">
        <v>0</v>
      </c>
      <c r="I1314">
        <v>3</v>
      </c>
      <c r="J1314">
        <v>4</v>
      </c>
      <c r="K1314">
        <v>1.05</v>
      </c>
    </row>
    <row r="1315" spans="1:11" x14ac:dyDescent="0.2">
      <c r="A1315" t="s">
        <v>11</v>
      </c>
      <c r="B1315">
        <v>120</v>
      </c>
      <c r="C1315" t="s">
        <v>17</v>
      </c>
      <c r="D1315" t="s">
        <v>13</v>
      </c>
      <c r="E1315" t="s">
        <v>59</v>
      </c>
      <c r="F1315">
        <v>0</v>
      </c>
      <c r="G1315">
        <v>0</v>
      </c>
      <c r="H1315">
        <v>2</v>
      </c>
      <c r="I1315">
        <v>2</v>
      </c>
      <c r="J1315">
        <v>4</v>
      </c>
      <c r="K1315">
        <v>1.2</v>
      </c>
    </row>
    <row r="1316" spans="1:11" x14ac:dyDescent="0.2">
      <c r="A1316" t="s">
        <v>11</v>
      </c>
      <c r="B1316">
        <v>120</v>
      </c>
      <c r="C1316" t="s">
        <v>17</v>
      </c>
      <c r="D1316" t="s">
        <v>13</v>
      </c>
      <c r="E1316" t="s">
        <v>40</v>
      </c>
      <c r="F1316">
        <v>0</v>
      </c>
      <c r="G1316">
        <v>0</v>
      </c>
      <c r="H1316">
        <v>0</v>
      </c>
      <c r="I1316">
        <v>1</v>
      </c>
      <c r="J1316">
        <v>1</v>
      </c>
      <c r="K1316">
        <v>0.1</v>
      </c>
    </row>
    <row r="1317" spans="1:11" x14ac:dyDescent="0.2">
      <c r="A1317" t="s">
        <v>11</v>
      </c>
      <c r="B1317">
        <v>120</v>
      </c>
      <c r="C1317" t="s">
        <v>17</v>
      </c>
      <c r="D1317" t="s">
        <v>18</v>
      </c>
      <c r="E1317" t="s">
        <v>19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0.1</v>
      </c>
    </row>
    <row r="1318" spans="1:11" x14ac:dyDescent="0.2">
      <c r="A1318" t="s">
        <v>11</v>
      </c>
      <c r="B1318">
        <v>120</v>
      </c>
      <c r="C1318" t="s">
        <v>17</v>
      </c>
      <c r="D1318" t="s">
        <v>18</v>
      </c>
      <c r="E1318" t="s">
        <v>93</v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0.5</v>
      </c>
    </row>
    <row r="1319" spans="1:11" x14ac:dyDescent="0.2">
      <c r="A1319" t="s">
        <v>11</v>
      </c>
      <c r="B1319">
        <v>120</v>
      </c>
      <c r="C1319" t="s">
        <v>17</v>
      </c>
      <c r="D1319" t="s">
        <v>13</v>
      </c>
      <c r="E1319" t="s">
        <v>132</v>
      </c>
      <c r="F1319">
        <v>0</v>
      </c>
      <c r="G1319">
        <v>0</v>
      </c>
      <c r="H1319">
        <v>5</v>
      </c>
      <c r="I1319">
        <v>0</v>
      </c>
      <c r="J1319">
        <v>5</v>
      </c>
      <c r="K1319">
        <v>2.5</v>
      </c>
    </row>
    <row r="1320" spans="1:11" x14ac:dyDescent="0.2">
      <c r="A1320" t="s">
        <v>11</v>
      </c>
      <c r="B1320">
        <v>120</v>
      </c>
      <c r="C1320" t="s">
        <v>42</v>
      </c>
      <c r="D1320" t="s">
        <v>18</v>
      </c>
      <c r="E1320" t="s">
        <v>140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0.5</v>
      </c>
    </row>
    <row r="1321" spans="1:11" x14ac:dyDescent="0.2">
      <c r="A1321" t="s">
        <v>11</v>
      </c>
      <c r="B1321">
        <v>120</v>
      </c>
      <c r="C1321" t="s">
        <v>42</v>
      </c>
      <c r="D1321" t="s">
        <v>28</v>
      </c>
      <c r="E1321" t="s">
        <v>140</v>
      </c>
      <c r="F1321">
        <v>0</v>
      </c>
      <c r="G1321">
        <v>0</v>
      </c>
      <c r="H1321">
        <v>1</v>
      </c>
      <c r="I1321">
        <v>0</v>
      </c>
      <c r="J1321">
        <v>1</v>
      </c>
      <c r="K1321">
        <v>0.5</v>
      </c>
    </row>
    <row r="1322" spans="1:11" x14ac:dyDescent="0.2">
      <c r="A1322" t="s">
        <v>11</v>
      </c>
      <c r="B1322">
        <v>120</v>
      </c>
      <c r="C1322" t="s">
        <v>42</v>
      </c>
      <c r="D1322" t="s">
        <v>13</v>
      </c>
      <c r="E1322" t="s">
        <v>50</v>
      </c>
      <c r="F1322">
        <v>0</v>
      </c>
      <c r="G1322">
        <v>2</v>
      </c>
      <c r="H1322">
        <v>0</v>
      </c>
      <c r="I1322">
        <v>0</v>
      </c>
      <c r="J1322">
        <v>2</v>
      </c>
      <c r="K1322">
        <v>1.5</v>
      </c>
    </row>
    <row r="1323" spans="1:11" x14ac:dyDescent="0.2">
      <c r="A1323" t="s">
        <v>11</v>
      </c>
      <c r="B1323">
        <v>120</v>
      </c>
      <c r="C1323" t="s">
        <v>42</v>
      </c>
      <c r="D1323" t="s">
        <v>13</v>
      </c>
      <c r="E1323" t="s">
        <v>88</v>
      </c>
      <c r="F1323">
        <v>0</v>
      </c>
      <c r="G1323">
        <v>0</v>
      </c>
      <c r="H1323">
        <v>1</v>
      </c>
      <c r="I1323">
        <v>0</v>
      </c>
      <c r="J1323">
        <v>1</v>
      </c>
      <c r="K1323">
        <v>0.5</v>
      </c>
    </row>
    <row r="1324" spans="1:11" x14ac:dyDescent="0.2">
      <c r="A1324" t="s">
        <v>11</v>
      </c>
      <c r="B1324">
        <v>120</v>
      </c>
      <c r="C1324" t="s">
        <v>42</v>
      </c>
      <c r="D1324" t="s">
        <v>13</v>
      </c>
      <c r="E1324" t="s">
        <v>35</v>
      </c>
      <c r="F1324">
        <v>0</v>
      </c>
      <c r="G1324">
        <v>1</v>
      </c>
      <c r="H1324">
        <v>1</v>
      </c>
      <c r="I1324">
        <v>2</v>
      </c>
      <c r="J1324">
        <v>4</v>
      </c>
      <c r="K1324">
        <v>1.45</v>
      </c>
    </row>
    <row r="1325" spans="1:11" x14ac:dyDescent="0.2">
      <c r="A1325" t="s">
        <v>11</v>
      </c>
      <c r="B1325">
        <v>120</v>
      </c>
      <c r="C1325" t="s">
        <v>42</v>
      </c>
      <c r="D1325" t="s">
        <v>18</v>
      </c>
      <c r="E1325" t="s">
        <v>44</v>
      </c>
      <c r="F1325">
        <v>1</v>
      </c>
      <c r="G1325">
        <v>0</v>
      </c>
      <c r="H1325">
        <v>3</v>
      </c>
      <c r="I1325">
        <v>0</v>
      </c>
      <c r="J1325">
        <v>4</v>
      </c>
      <c r="K1325">
        <v>2.5</v>
      </c>
    </row>
    <row r="1326" spans="1:11" x14ac:dyDescent="0.2">
      <c r="A1326" t="s">
        <v>11</v>
      </c>
      <c r="B1326">
        <v>120</v>
      </c>
      <c r="C1326" t="s">
        <v>42</v>
      </c>
      <c r="D1326" t="s">
        <v>13</v>
      </c>
      <c r="E1326" t="s">
        <v>120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0.5</v>
      </c>
    </row>
    <row r="1327" spans="1:11" x14ac:dyDescent="0.2">
      <c r="A1327" t="s">
        <v>11</v>
      </c>
      <c r="B1327">
        <v>120</v>
      </c>
      <c r="C1327" t="s">
        <v>42</v>
      </c>
      <c r="D1327" t="s">
        <v>13</v>
      </c>
      <c r="E1327" t="s">
        <v>64</v>
      </c>
      <c r="F1327">
        <v>0</v>
      </c>
      <c r="G1327">
        <v>0</v>
      </c>
      <c r="H1327">
        <v>1</v>
      </c>
      <c r="I1327">
        <v>0</v>
      </c>
      <c r="J1327">
        <v>1</v>
      </c>
      <c r="K1327">
        <v>0.5</v>
      </c>
    </row>
    <row r="1328" spans="1:11" x14ac:dyDescent="0.2">
      <c r="A1328" t="s">
        <v>11</v>
      </c>
      <c r="B1328">
        <v>120</v>
      </c>
      <c r="C1328" t="s">
        <v>45</v>
      </c>
      <c r="D1328" t="s">
        <v>13</v>
      </c>
      <c r="E1328" t="s">
        <v>27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0.75</v>
      </c>
    </row>
    <row r="1329" spans="1:11" x14ac:dyDescent="0.2">
      <c r="A1329" t="s">
        <v>11</v>
      </c>
      <c r="B1329">
        <v>120</v>
      </c>
      <c r="C1329" t="s">
        <v>45</v>
      </c>
      <c r="D1329" t="s">
        <v>13</v>
      </c>
      <c r="E1329" t="s">
        <v>111</v>
      </c>
      <c r="F1329">
        <v>0</v>
      </c>
      <c r="G1329">
        <v>0</v>
      </c>
      <c r="H1329">
        <v>1</v>
      </c>
      <c r="I1329">
        <v>0</v>
      </c>
      <c r="J1329">
        <v>1</v>
      </c>
      <c r="K1329">
        <v>0.5</v>
      </c>
    </row>
    <row r="1330" spans="1:11" x14ac:dyDescent="0.2">
      <c r="A1330" t="s">
        <v>11</v>
      </c>
      <c r="B1330">
        <v>120</v>
      </c>
      <c r="C1330" t="s">
        <v>45</v>
      </c>
      <c r="D1330" t="s">
        <v>18</v>
      </c>
      <c r="E1330" t="s">
        <v>111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0.5</v>
      </c>
    </row>
    <row r="1331" spans="1:11" x14ac:dyDescent="0.2">
      <c r="A1331" t="s">
        <v>11</v>
      </c>
      <c r="B1331">
        <v>120</v>
      </c>
      <c r="C1331" t="s">
        <v>45</v>
      </c>
      <c r="D1331" t="s">
        <v>13</v>
      </c>
      <c r="E1331" t="s">
        <v>137</v>
      </c>
      <c r="F1331">
        <v>0</v>
      </c>
      <c r="G1331">
        <v>0</v>
      </c>
      <c r="H1331">
        <v>4</v>
      </c>
      <c r="I1331">
        <v>0</v>
      </c>
      <c r="J1331">
        <v>4</v>
      </c>
      <c r="K1331">
        <v>2.4</v>
      </c>
    </row>
    <row r="1332" spans="1:11" x14ac:dyDescent="0.2">
      <c r="A1332" t="s">
        <v>11</v>
      </c>
      <c r="B1332">
        <v>121</v>
      </c>
      <c r="C1332" t="s">
        <v>20</v>
      </c>
      <c r="D1332" t="s">
        <v>13</v>
      </c>
      <c r="E1332" t="s">
        <v>89</v>
      </c>
      <c r="F1332">
        <v>0</v>
      </c>
      <c r="G1332">
        <v>0</v>
      </c>
      <c r="H1332">
        <v>1</v>
      </c>
      <c r="I1332">
        <v>0</v>
      </c>
      <c r="J1332">
        <v>1</v>
      </c>
      <c r="K1332">
        <v>0.5</v>
      </c>
    </row>
    <row r="1333" spans="1:11" x14ac:dyDescent="0.2">
      <c r="A1333" t="s">
        <v>11</v>
      </c>
      <c r="B1333">
        <v>121</v>
      </c>
      <c r="C1333" t="s">
        <v>20</v>
      </c>
      <c r="D1333" t="s">
        <v>18</v>
      </c>
      <c r="E1333" t="s">
        <v>35</v>
      </c>
      <c r="F1333">
        <v>2</v>
      </c>
      <c r="G1333">
        <v>0</v>
      </c>
      <c r="H1333">
        <v>0</v>
      </c>
      <c r="I1333">
        <v>1</v>
      </c>
      <c r="J1333">
        <v>3</v>
      </c>
      <c r="K1333">
        <v>2.1</v>
      </c>
    </row>
    <row r="1334" spans="1:11" x14ac:dyDescent="0.2">
      <c r="A1334" t="s">
        <v>11</v>
      </c>
      <c r="B1334">
        <v>121</v>
      </c>
      <c r="C1334" t="s">
        <v>22</v>
      </c>
      <c r="D1334" t="s">
        <v>13</v>
      </c>
      <c r="E1334" t="s">
        <v>25</v>
      </c>
      <c r="F1334">
        <v>0</v>
      </c>
      <c r="G1334">
        <v>0</v>
      </c>
      <c r="H1334">
        <v>1</v>
      </c>
      <c r="I1334">
        <v>0</v>
      </c>
      <c r="J1334">
        <v>1</v>
      </c>
      <c r="K1334">
        <v>0.5</v>
      </c>
    </row>
    <row r="1335" spans="1:11" x14ac:dyDescent="0.2">
      <c r="A1335" t="s">
        <v>11</v>
      </c>
      <c r="B1335">
        <v>121</v>
      </c>
      <c r="C1335" t="s">
        <v>22</v>
      </c>
      <c r="D1335" t="s">
        <v>13</v>
      </c>
      <c r="E1335" t="s">
        <v>23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0.5</v>
      </c>
    </row>
    <row r="1336" spans="1:11" x14ac:dyDescent="0.2">
      <c r="A1336" t="s">
        <v>11</v>
      </c>
      <c r="B1336">
        <v>121</v>
      </c>
      <c r="C1336" t="s">
        <v>17</v>
      </c>
      <c r="D1336" t="s">
        <v>13</v>
      </c>
      <c r="E1336" t="s">
        <v>41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0.1</v>
      </c>
    </row>
    <row r="1337" spans="1:11" x14ac:dyDescent="0.2">
      <c r="A1337" t="s">
        <v>11</v>
      </c>
      <c r="B1337">
        <v>121</v>
      </c>
      <c r="C1337" t="s">
        <v>42</v>
      </c>
      <c r="D1337" t="s">
        <v>13</v>
      </c>
      <c r="E1337" t="s">
        <v>35</v>
      </c>
      <c r="F1337">
        <v>2</v>
      </c>
      <c r="G1337">
        <v>0</v>
      </c>
      <c r="H1337">
        <v>0</v>
      </c>
      <c r="I1337">
        <v>1</v>
      </c>
      <c r="J1337">
        <v>3</v>
      </c>
      <c r="K1337">
        <v>2.1</v>
      </c>
    </row>
    <row r="1338" spans="1:11" x14ac:dyDescent="0.2">
      <c r="A1338" t="s">
        <v>11</v>
      </c>
      <c r="B1338">
        <v>121</v>
      </c>
      <c r="C1338" t="s">
        <v>42</v>
      </c>
      <c r="D1338" t="s">
        <v>18</v>
      </c>
      <c r="E1338" t="s">
        <v>44</v>
      </c>
      <c r="F1338">
        <v>0</v>
      </c>
      <c r="G1338">
        <v>2</v>
      </c>
      <c r="H1338">
        <v>0</v>
      </c>
      <c r="I1338">
        <v>1</v>
      </c>
      <c r="J1338">
        <v>3</v>
      </c>
      <c r="K1338">
        <v>1.6</v>
      </c>
    </row>
  </sheetData>
  <conditionalFormatting sqref="Z2:Z116">
    <cfRule type="colorScale" priority="1">
      <colorScale>
        <cfvo type="min"/>
        <cfvo type="max"/>
        <color rgb="FFFCFCFF"/>
        <color rgb="FFF8696B"/>
      </colorScale>
    </cfRule>
  </conditionalFormatting>
  <pageMargins left="0.78740157499999996" right="0.78740157499999996" top="0.984251969" bottom="0.984251969" header="0.4921259845" footer="0.4921259845"/>
  <ignoredErrors>
    <ignoredError sqref="AD2:AD40 AD81 AD83:AD84 AD100 AD104:AD116" calculatedColumn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analyse_ergebnisse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created xsi:type="dcterms:W3CDTF">2025-11-28T07:26:37Z</dcterms:created>
  <dcterms:modified xsi:type="dcterms:W3CDTF">2025-12-22T13:03:05Z</dcterms:modified>
</cp:coreProperties>
</file>