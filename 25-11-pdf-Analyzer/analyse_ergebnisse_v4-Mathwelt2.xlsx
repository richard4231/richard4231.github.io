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31a8beddc4e0454/01JupyterAndCo/04GitHub/GitHubCloneMBP/richard4231.github.io/25-11-pdf-Analyzer/"/>
    </mc:Choice>
  </mc:AlternateContent>
  <xr:revisionPtr revIDLastSave="106" documentId="8_{C58C8EB2-8A2D-4D46-8FCE-DBDB6388E82B}" xr6:coauthVersionLast="47" xr6:coauthVersionMax="47" xr10:uidLastSave="{9393CF4C-904F-C640-8F67-1C792D02F082}"/>
  <bookViews>
    <workbookView xWindow="500" yWindow="620" windowWidth="26040" windowHeight="15880" xr2:uid="{2F4CF655-B5EA-DF41-8C7B-35EEE630F387}"/>
  </bookViews>
  <sheets>
    <sheet name="Tabelle 1 MW2Sem1" sheetId="1" r:id="rId1"/>
    <sheet name="Tabelle 2 MW2Sem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37" i="2" l="1"/>
  <c r="R138" i="2"/>
  <c r="R139" i="2"/>
  <c r="N137" i="2"/>
  <c r="N138" i="2"/>
  <c r="N139" i="2"/>
  <c r="U2" i="2" a="1"/>
  <c r="U2" i="2" s="1"/>
  <c r="U3" i="2" a="1"/>
  <c r="U3" i="2" s="1"/>
  <c r="U4" i="2" a="1"/>
  <c r="U4" i="2" s="1"/>
  <c r="U5" i="2" a="1"/>
  <c r="U5" i="2" s="1"/>
  <c r="U6" i="2" a="1"/>
  <c r="U6" i="2" s="1"/>
  <c r="U7" i="2" a="1"/>
  <c r="U7" i="2" s="1"/>
  <c r="U8" i="2" a="1"/>
  <c r="U8" i="2" s="1"/>
  <c r="U9" i="2" a="1"/>
  <c r="U9" i="2" s="1"/>
  <c r="U10" i="2" a="1"/>
  <c r="U10" i="2" s="1"/>
  <c r="U11" i="2" a="1"/>
  <c r="U11" i="2" s="1"/>
  <c r="U12" i="2" a="1"/>
  <c r="U12" i="2" s="1"/>
  <c r="U13" i="2" a="1"/>
  <c r="U13" i="2" s="1"/>
  <c r="U14" i="2" a="1"/>
  <c r="U14" i="2" s="1"/>
  <c r="U15" i="2" a="1"/>
  <c r="U15" i="2" s="1"/>
  <c r="U16" i="2" a="1"/>
  <c r="U16" i="2" s="1"/>
  <c r="U17" i="2" a="1"/>
  <c r="U17" i="2" s="1"/>
  <c r="U18" i="2" a="1"/>
  <c r="U18" i="2" s="1"/>
  <c r="U19" i="2" a="1"/>
  <c r="U19" i="2" s="1"/>
  <c r="U20" i="2" a="1"/>
  <c r="U20" i="2" s="1"/>
  <c r="U21" i="2" a="1"/>
  <c r="U21" i="2" s="1"/>
  <c r="U22" i="2" a="1"/>
  <c r="U22" i="2" s="1"/>
  <c r="U23" i="2" a="1"/>
  <c r="U23" i="2" s="1"/>
  <c r="U24" i="2" a="1"/>
  <c r="U24" i="2" s="1"/>
  <c r="U25" i="2" a="1"/>
  <c r="U25" i="2" s="1"/>
  <c r="U26" i="2" a="1"/>
  <c r="U26" i="2" s="1"/>
  <c r="U27" i="2" a="1"/>
  <c r="U27" i="2" s="1"/>
  <c r="U28" i="2" a="1"/>
  <c r="U28" i="2" s="1"/>
  <c r="U29" i="2" a="1"/>
  <c r="U29" i="2" s="1"/>
  <c r="U30" i="2" a="1"/>
  <c r="U30" i="2" s="1"/>
  <c r="U31" i="2" a="1"/>
  <c r="U31" i="2" s="1"/>
  <c r="U32" i="2" a="1"/>
  <c r="U32" i="2" s="1"/>
  <c r="U33" i="2" a="1"/>
  <c r="U33" i="2" s="1"/>
  <c r="U34" i="2" a="1"/>
  <c r="U34" i="2" s="1"/>
  <c r="U35" i="2" a="1"/>
  <c r="U35" i="2" s="1"/>
  <c r="U36" i="2" a="1"/>
  <c r="U36" i="2" s="1"/>
  <c r="U37" i="2" a="1"/>
  <c r="U37" i="2" s="1"/>
  <c r="U38" i="2" a="1"/>
  <c r="U38" i="2" s="1"/>
  <c r="U39" i="2" a="1"/>
  <c r="U39" i="2" s="1"/>
  <c r="U40" i="2" a="1"/>
  <c r="U40" i="2" s="1"/>
  <c r="U41" i="2" a="1"/>
  <c r="U41" i="2" s="1"/>
  <c r="U42" i="2" a="1"/>
  <c r="U42" i="2" s="1"/>
  <c r="U43" i="2" a="1"/>
  <c r="U43" i="2" s="1"/>
  <c r="U44" i="2" a="1"/>
  <c r="U44" i="2" s="1"/>
  <c r="U45" i="2" a="1"/>
  <c r="U45" i="2" s="1"/>
  <c r="U46" i="2" a="1"/>
  <c r="U46" i="2" s="1"/>
  <c r="U47" i="2" a="1"/>
  <c r="U47" i="2" s="1"/>
  <c r="U48" i="2" a="1"/>
  <c r="U48" i="2" s="1"/>
  <c r="U49" i="2" a="1"/>
  <c r="U49" i="2" s="1"/>
  <c r="U50" i="2" a="1"/>
  <c r="U50" i="2" s="1"/>
  <c r="U51" i="2" a="1"/>
  <c r="U51" i="2" s="1"/>
  <c r="U52" i="2" a="1"/>
  <c r="U52" i="2" s="1"/>
  <c r="U53" i="2" a="1"/>
  <c r="U53" i="2" s="1"/>
  <c r="U54" i="2" a="1"/>
  <c r="U54" i="2" s="1"/>
  <c r="U55" i="2" a="1"/>
  <c r="U55" i="2" s="1"/>
  <c r="U56" i="2" a="1"/>
  <c r="U56" i="2" s="1"/>
  <c r="U57" i="2" a="1"/>
  <c r="U57" i="2" s="1"/>
  <c r="U58" i="2" a="1"/>
  <c r="U58" i="2" s="1"/>
  <c r="U59" i="2" a="1"/>
  <c r="U59" i="2" s="1"/>
  <c r="U60" i="2" a="1"/>
  <c r="U60" i="2" s="1"/>
  <c r="U61" i="2" a="1"/>
  <c r="U61" i="2" s="1"/>
  <c r="U62" i="2" a="1"/>
  <c r="U62" i="2" s="1"/>
  <c r="U63" i="2" a="1"/>
  <c r="U63" i="2" s="1"/>
  <c r="U64" i="2" a="1"/>
  <c r="U64" i="2" s="1"/>
  <c r="U65" i="2" a="1"/>
  <c r="U65" i="2" s="1"/>
  <c r="U66" i="2" a="1"/>
  <c r="U66" i="2" s="1"/>
  <c r="U67" i="2" a="1"/>
  <c r="U67" i="2" s="1"/>
  <c r="U68" i="2" a="1"/>
  <c r="U68" i="2" s="1"/>
  <c r="U69" i="2" a="1"/>
  <c r="U69" i="2" s="1"/>
  <c r="U70" i="2" a="1"/>
  <c r="U70" i="2" s="1"/>
  <c r="U71" i="2" a="1"/>
  <c r="U71" i="2" s="1"/>
  <c r="U72" i="2" a="1"/>
  <c r="U72" i="2" s="1"/>
  <c r="U73" i="2" a="1"/>
  <c r="U73" i="2" s="1"/>
  <c r="U74" i="2" a="1"/>
  <c r="U74" i="2" s="1"/>
  <c r="U75" i="2" a="1"/>
  <c r="U75" i="2" s="1"/>
  <c r="U76" i="2" a="1"/>
  <c r="U76" i="2" s="1"/>
  <c r="U77" i="2" a="1"/>
  <c r="U77" i="2" s="1"/>
  <c r="U78" i="2" a="1"/>
  <c r="U78" i="2" s="1"/>
  <c r="U79" i="2" a="1"/>
  <c r="U79" i="2" s="1"/>
  <c r="U80" i="2" a="1"/>
  <c r="U80" i="2" s="1"/>
  <c r="U81" i="2" a="1"/>
  <c r="U81" i="2" s="1"/>
  <c r="U82" i="2" a="1"/>
  <c r="U82" i="2" s="1"/>
  <c r="U83" i="2" a="1"/>
  <c r="U83" i="2" s="1"/>
  <c r="U84" i="2" a="1"/>
  <c r="U84" i="2" s="1"/>
  <c r="U85" i="2" a="1"/>
  <c r="U85" i="2" s="1"/>
  <c r="U86" i="2" a="1"/>
  <c r="U86" i="2" s="1"/>
  <c r="U87" i="2" a="1"/>
  <c r="U87" i="2" s="1"/>
  <c r="U88" i="2" a="1"/>
  <c r="U88" i="2" s="1"/>
  <c r="U89" i="2" a="1"/>
  <c r="U89" i="2" s="1"/>
  <c r="U90" i="2" a="1"/>
  <c r="U90" i="2" s="1"/>
  <c r="U91" i="2" a="1"/>
  <c r="U91" i="2" s="1"/>
  <c r="U92" i="2" a="1"/>
  <c r="U92" i="2" s="1"/>
  <c r="U93" i="2" a="1"/>
  <c r="U93" i="2" s="1"/>
  <c r="U94" i="2" a="1"/>
  <c r="U94" i="2" s="1"/>
  <c r="U95" i="2" a="1"/>
  <c r="U95" i="2" s="1"/>
  <c r="U96" i="2" a="1"/>
  <c r="U96" i="2" s="1"/>
  <c r="U97" i="2" a="1"/>
  <c r="U97" i="2" s="1"/>
  <c r="U98" i="2" a="1"/>
  <c r="U98" i="2" s="1"/>
  <c r="U99" i="2" a="1"/>
  <c r="U99" i="2" s="1"/>
  <c r="U100" i="2" a="1"/>
  <c r="U100" i="2" s="1"/>
  <c r="U101" i="2" a="1"/>
  <c r="U101" i="2" s="1"/>
  <c r="U102" i="2" a="1"/>
  <c r="U102" i="2" s="1"/>
  <c r="U103" i="2" a="1"/>
  <c r="U103" i="2" s="1"/>
  <c r="U104" i="2" a="1"/>
  <c r="U104" i="2" s="1"/>
  <c r="U105" i="2" a="1"/>
  <c r="U105" i="2" s="1"/>
  <c r="U106" i="2" a="1"/>
  <c r="U106" i="2" s="1"/>
  <c r="U107" i="2" a="1"/>
  <c r="U107" i="2" s="1"/>
  <c r="U108" i="2" a="1"/>
  <c r="U108" i="2" s="1"/>
  <c r="U109" i="2" a="1"/>
  <c r="U109" i="2" s="1"/>
  <c r="U110" i="2" a="1"/>
  <c r="U110" i="2" s="1"/>
  <c r="U111" i="2" a="1"/>
  <c r="U111" i="2" s="1"/>
  <c r="U112" i="2" a="1"/>
  <c r="U112" i="2" s="1"/>
  <c r="U113" i="2" a="1"/>
  <c r="U113" i="2" s="1"/>
  <c r="U114" i="2" a="1"/>
  <c r="U114" i="2" s="1"/>
  <c r="U115" i="2" a="1"/>
  <c r="U115" i="2" s="1"/>
  <c r="U116" i="2" a="1"/>
  <c r="U116" i="2" s="1"/>
  <c r="U117" i="2" a="1"/>
  <c r="U117" i="2" s="1"/>
  <c r="U118" i="2" a="1"/>
  <c r="U118" i="2" s="1"/>
  <c r="U119" i="2" a="1"/>
  <c r="U119" i="2" s="1"/>
  <c r="U120" i="2" a="1"/>
  <c r="U120" i="2" s="1"/>
  <c r="U121" i="2" a="1"/>
  <c r="U121" i="2" s="1"/>
  <c r="U122" i="2" a="1"/>
  <c r="U122" i="2" s="1"/>
  <c r="U123" i="2" a="1"/>
  <c r="U123" i="2" s="1"/>
  <c r="U124" i="2" a="1"/>
  <c r="U124" i="2" s="1"/>
  <c r="U125" i="2" a="1"/>
  <c r="U125" i="2" s="1"/>
  <c r="U126" i="2" a="1"/>
  <c r="U126" i="2" s="1"/>
  <c r="U127" i="2" a="1"/>
  <c r="U127" i="2" s="1"/>
  <c r="U128" i="2" a="1"/>
  <c r="U128" i="2" s="1"/>
  <c r="U129" i="2" a="1"/>
  <c r="U129" i="2" s="1"/>
  <c r="U130" i="2" a="1"/>
  <c r="U130" i="2" s="1"/>
  <c r="U131" i="2" a="1"/>
  <c r="U131" i="2" s="1"/>
  <c r="U132" i="2" a="1"/>
  <c r="U132" i="2" s="1"/>
  <c r="U133" i="2" a="1"/>
  <c r="U133" i="2" s="1"/>
  <c r="U134" i="2" a="1"/>
  <c r="U134" i="2" s="1"/>
  <c r="U135" i="2" a="1"/>
  <c r="U135" i="2" s="1"/>
  <c r="U136" i="2" a="1"/>
  <c r="U136" i="2" s="1"/>
  <c r="U6" i="1" a="1"/>
  <c r="U6" i="1" s="1"/>
  <c r="U7" i="1" a="1"/>
  <c r="U7" i="1" s="1"/>
  <c r="U8" i="1" a="1"/>
  <c r="U8" i="1" s="1"/>
  <c r="U9" i="1" a="1"/>
  <c r="U9" i="1" s="1"/>
  <c r="U10" i="1" a="1"/>
  <c r="U10" i="1" s="1"/>
  <c r="U11" i="1" a="1"/>
  <c r="U11" i="1" s="1"/>
  <c r="U12" i="1" a="1"/>
  <c r="U12" i="1" s="1"/>
  <c r="U13" i="1" a="1"/>
  <c r="U13" i="1" s="1"/>
  <c r="U14" i="1" a="1"/>
  <c r="U14" i="1" s="1"/>
  <c r="U15" i="1" a="1"/>
  <c r="U15" i="1" s="1"/>
  <c r="U16" i="1" a="1"/>
  <c r="U16" i="1" s="1"/>
  <c r="U17" i="1" a="1"/>
  <c r="U17" i="1" s="1"/>
  <c r="U18" i="1" a="1"/>
  <c r="U18" i="1" s="1"/>
  <c r="U19" i="1" a="1"/>
  <c r="U19" i="1" s="1"/>
  <c r="U20" i="1" a="1"/>
  <c r="U20" i="1" s="1"/>
  <c r="U21" i="1" a="1"/>
  <c r="U21" i="1" s="1"/>
  <c r="U22" i="1" a="1"/>
  <c r="U22" i="1" s="1"/>
  <c r="U23" i="1" a="1"/>
  <c r="U23" i="1" s="1"/>
  <c r="U24" i="1" a="1"/>
  <c r="U24" i="1" s="1"/>
  <c r="U25" i="1" a="1"/>
  <c r="U25" i="1" s="1"/>
  <c r="U26" i="1" a="1"/>
  <c r="U26" i="1" s="1"/>
  <c r="U27" i="1" a="1"/>
  <c r="U27" i="1" s="1"/>
  <c r="U28" i="1" a="1"/>
  <c r="U28" i="1" s="1"/>
  <c r="U29" i="1" a="1"/>
  <c r="U29" i="1" s="1"/>
  <c r="U30" i="1" a="1"/>
  <c r="U30" i="1" s="1"/>
  <c r="U31" i="1" a="1"/>
  <c r="U31" i="1" s="1"/>
  <c r="U32" i="1" a="1"/>
  <c r="U32" i="1" s="1"/>
  <c r="U33" i="1" a="1"/>
  <c r="U33" i="1" s="1"/>
  <c r="U34" i="1" a="1"/>
  <c r="U34" i="1" s="1"/>
  <c r="U35" i="1" a="1"/>
  <c r="U35" i="1" s="1"/>
  <c r="U36" i="1" a="1"/>
  <c r="U36" i="1" s="1"/>
  <c r="U37" i="1" a="1"/>
  <c r="U37" i="1" s="1"/>
  <c r="U38" i="1" a="1"/>
  <c r="U38" i="1" s="1"/>
  <c r="U39" i="1" a="1"/>
  <c r="U39" i="1" s="1"/>
  <c r="U40" i="1" a="1"/>
  <c r="U40" i="1" s="1"/>
  <c r="U41" i="1" a="1"/>
  <c r="U41" i="1" s="1"/>
  <c r="U42" i="1" a="1"/>
  <c r="U42" i="1" s="1"/>
  <c r="U43" i="1" a="1"/>
  <c r="U43" i="1" s="1"/>
  <c r="U44" i="1" a="1"/>
  <c r="U44" i="1" s="1"/>
  <c r="U45" i="1" a="1"/>
  <c r="U45" i="1" s="1"/>
  <c r="U46" i="1" a="1"/>
  <c r="U46" i="1" s="1"/>
  <c r="U47" i="1" a="1"/>
  <c r="U47" i="1" s="1"/>
  <c r="U48" i="1" a="1"/>
  <c r="U48" i="1" s="1"/>
  <c r="U49" i="1" a="1"/>
  <c r="U49" i="1" s="1"/>
  <c r="U50" i="1" a="1"/>
  <c r="U50" i="1" s="1"/>
  <c r="U51" i="1" a="1"/>
  <c r="U51" i="1" s="1"/>
  <c r="U52" i="1" a="1"/>
  <c r="U52" i="1" s="1"/>
  <c r="U53" i="1" a="1"/>
  <c r="U53" i="1" s="1"/>
  <c r="U54" i="1" a="1"/>
  <c r="U54" i="1" s="1"/>
  <c r="U55" i="1" a="1"/>
  <c r="U55" i="1" s="1"/>
  <c r="U56" i="1" a="1"/>
  <c r="U56" i="1" s="1"/>
  <c r="U57" i="1" a="1"/>
  <c r="U57" i="1" s="1"/>
  <c r="U58" i="1" a="1"/>
  <c r="U58" i="1" s="1"/>
  <c r="U59" i="1" a="1"/>
  <c r="U59" i="1" s="1"/>
  <c r="U60" i="1" a="1"/>
  <c r="U60" i="1" s="1"/>
  <c r="U61" i="1" a="1"/>
  <c r="U61" i="1" s="1"/>
  <c r="U62" i="1" a="1"/>
  <c r="U62" i="1" s="1"/>
  <c r="U63" i="1" a="1"/>
  <c r="U63" i="1" s="1"/>
  <c r="U64" i="1" a="1"/>
  <c r="U64" i="1" s="1"/>
  <c r="U65" i="1" a="1"/>
  <c r="U65" i="1" s="1"/>
  <c r="U66" i="1" a="1"/>
  <c r="U66" i="1" s="1"/>
  <c r="U67" i="1" a="1"/>
  <c r="U67" i="1" s="1"/>
  <c r="U68" i="1" a="1"/>
  <c r="U68" i="1" s="1"/>
  <c r="U69" i="1" a="1"/>
  <c r="U69" i="1" s="1"/>
  <c r="U70" i="1" a="1"/>
  <c r="U70" i="1" s="1"/>
  <c r="U71" i="1" a="1"/>
  <c r="U71" i="1" s="1"/>
  <c r="U72" i="1" a="1"/>
  <c r="U72" i="1" s="1"/>
  <c r="U73" i="1" a="1"/>
  <c r="U73" i="1" s="1"/>
  <c r="U74" i="1" a="1"/>
  <c r="U74" i="1" s="1"/>
  <c r="U75" i="1" a="1"/>
  <c r="U75" i="1" s="1"/>
  <c r="U76" i="1" a="1"/>
  <c r="U76" i="1" s="1"/>
  <c r="U77" i="1" a="1"/>
  <c r="U77" i="1" s="1"/>
  <c r="U78" i="1" a="1"/>
  <c r="U78" i="1" s="1"/>
  <c r="U79" i="1" a="1"/>
  <c r="U79" i="1" s="1"/>
  <c r="U80" i="1" a="1"/>
  <c r="U80" i="1" s="1"/>
  <c r="U81" i="1" a="1"/>
  <c r="U81" i="1" s="1"/>
  <c r="U82" i="1" a="1"/>
  <c r="U82" i="1" s="1"/>
  <c r="U83" i="1" a="1"/>
  <c r="U83" i="1" s="1"/>
  <c r="U84" i="1" a="1"/>
  <c r="U84" i="1" s="1"/>
  <c r="U85" i="1" a="1"/>
  <c r="U85" i="1" s="1"/>
  <c r="U86" i="1" a="1"/>
  <c r="U86" i="1" s="1"/>
  <c r="U87" i="1" a="1"/>
  <c r="U87" i="1" s="1"/>
  <c r="U88" i="1" a="1"/>
  <c r="U88" i="1" s="1"/>
  <c r="U89" i="1" a="1"/>
  <c r="U89" i="1" s="1"/>
  <c r="U90" i="1" a="1"/>
  <c r="U90" i="1" s="1"/>
  <c r="U91" i="1" a="1"/>
  <c r="U91" i="1" s="1"/>
  <c r="U92" i="1" a="1"/>
  <c r="U92" i="1" s="1"/>
  <c r="U93" i="1" a="1"/>
  <c r="U93" i="1" s="1"/>
  <c r="U94" i="1" a="1"/>
  <c r="U94" i="1" s="1"/>
  <c r="U95" i="1" a="1"/>
  <c r="U95" i="1" s="1"/>
  <c r="U96" i="1" a="1"/>
  <c r="U96" i="1" s="1"/>
  <c r="U97" i="1" a="1"/>
  <c r="U97" i="1" s="1"/>
  <c r="U98" i="1" a="1"/>
  <c r="U98" i="1" s="1"/>
  <c r="U99" i="1" a="1"/>
  <c r="U99" i="1" s="1"/>
  <c r="U100" i="1" a="1"/>
  <c r="U100" i="1" s="1"/>
  <c r="U101" i="1" a="1"/>
  <c r="U101" i="1" s="1"/>
  <c r="U102" i="1" a="1"/>
  <c r="U102" i="1" s="1"/>
  <c r="U103" i="1" a="1"/>
  <c r="U103" i="1" s="1"/>
  <c r="U104" i="1" a="1"/>
  <c r="U104" i="1" s="1"/>
  <c r="U105" i="1" a="1"/>
  <c r="U105" i="1" s="1"/>
  <c r="U106" i="1" a="1"/>
  <c r="U106" i="1" s="1"/>
  <c r="U107" i="1" a="1"/>
  <c r="U107" i="1" s="1"/>
  <c r="U108" i="1" a="1"/>
  <c r="U108" i="1" s="1"/>
  <c r="U109" i="1" a="1"/>
  <c r="U109" i="1" s="1"/>
  <c r="U110" i="1" a="1"/>
  <c r="U110" i="1" s="1"/>
  <c r="U111" i="1" a="1"/>
  <c r="U111" i="1" s="1"/>
  <c r="U112" i="1" a="1"/>
  <c r="U112" i="1" s="1"/>
  <c r="U113" i="1" a="1"/>
  <c r="U113" i="1" s="1"/>
  <c r="U114" i="1" a="1"/>
  <c r="U114" i="1" s="1"/>
  <c r="U115" i="1" a="1"/>
  <c r="U115" i="1" s="1"/>
  <c r="U116" i="1" a="1"/>
  <c r="U116" i="1" s="1"/>
  <c r="U117" i="1" a="1"/>
  <c r="U117" i="1" s="1"/>
  <c r="U118" i="1" a="1"/>
  <c r="U118" i="1" s="1"/>
  <c r="U119" i="1" a="1"/>
  <c r="U119" i="1" s="1"/>
  <c r="U120" i="1" a="1"/>
  <c r="U120" i="1" s="1"/>
  <c r="U121" i="1" a="1"/>
  <c r="U121" i="1" s="1"/>
  <c r="U122" i="1" a="1"/>
  <c r="U122" i="1" s="1"/>
  <c r="U123" i="1" a="1"/>
  <c r="U123" i="1" s="1"/>
  <c r="U124" i="1" a="1"/>
  <c r="U124" i="1" s="1"/>
  <c r="U125" i="1" a="1"/>
  <c r="U125" i="1" s="1"/>
  <c r="U126" i="1" a="1"/>
  <c r="U126" i="1" s="1"/>
  <c r="U127" i="1" a="1"/>
  <c r="U127" i="1" s="1"/>
  <c r="M2" i="1" a="1"/>
  <c r="M2" i="1" s="1"/>
  <c r="N2" i="1" s="1"/>
  <c r="W139" i="1"/>
  <c r="W138" i="1"/>
  <c r="W137" i="1"/>
  <c r="W136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N114" i="2"/>
  <c r="N121" i="2"/>
  <c r="N122" i="2"/>
  <c r="N133" i="2"/>
  <c r="W145" i="2"/>
  <c r="W144" i="2"/>
  <c r="W143" i="2"/>
  <c r="W142" i="2"/>
  <c r="N4" i="2"/>
  <c r="N5" i="2"/>
  <c r="N16" i="2"/>
  <c r="N33" i="2"/>
  <c r="N40" i="2"/>
  <c r="N41" i="2"/>
  <c r="N52" i="2"/>
  <c r="N69" i="2"/>
  <c r="N76" i="2"/>
  <c r="N77" i="2"/>
  <c r="N88" i="2"/>
  <c r="N105" i="2"/>
  <c r="N112" i="2"/>
  <c r="N113" i="2"/>
  <c r="M2" i="2" a="1"/>
  <c r="M2" i="2" s="1"/>
  <c r="N2" i="2" s="1"/>
  <c r="N100" i="2" l="1"/>
  <c r="N64" i="2"/>
  <c r="N28" i="2"/>
  <c r="N101" i="2"/>
  <c r="N65" i="2"/>
  <c r="N29" i="2"/>
  <c r="N93" i="2"/>
  <c r="N57" i="2"/>
  <c r="N21" i="2"/>
  <c r="N102" i="2"/>
  <c r="N66" i="2"/>
  <c r="N30" i="2"/>
  <c r="N90" i="2"/>
  <c r="N54" i="2"/>
  <c r="N18" i="2"/>
  <c r="N135" i="2"/>
  <c r="N89" i="2"/>
  <c r="N53" i="2"/>
  <c r="N17" i="2"/>
  <c r="N134" i="2"/>
  <c r="N81" i="2"/>
  <c r="N45" i="2"/>
  <c r="N9" i="2"/>
  <c r="N126" i="2"/>
  <c r="N78" i="2"/>
  <c r="N42" i="2"/>
  <c r="N6" i="2"/>
  <c r="N123" i="2"/>
  <c r="N111" i="2"/>
  <c r="N99" i="2"/>
  <c r="N87" i="2"/>
  <c r="N75" i="2"/>
  <c r="N63" i="2"/>
  <c r="N51" i="2"/>
  <c r="N39" i="2"/>
  <c r="N27" i="2"/>
  <c r="N15" i="2"/>
  <c r="N3" i="2"/>
  <c r="N132" i="2"/>
  <c r="N120" i="2"/>
  <c r="N86" i="2"/>
  <c r="N119" i="2"/>
  <c r="N109" i="2"/>
  <c r="N97" i="2"/>
  <c r="N85" i="2"/>
  <c r="N73" i="2"/>
  <c r="N61" i="2"/>
  <c r="N49" i="2"/>
  <c r="N37" i="2"/>
  <c r="N25" i="2"/>
  <c r="N13" i="2"/>
  <c r="N130" i="2"/>
  <c r="N72" i="2"/>
  <c r="N117" i="2"/>
  <c r="N107" i="2"/>
  <c r="N95" i="2"/>
  <c r="N83" i="2"/>
  <c r="N71" i="2"/>
  <c r="N59" i="2"/>
  <c r="N47" i="2"/>
  <c r="N35" i="2"/>
  <c r="N23" i="2"/>
  <c r="N11" i="2"/>
  <c r="N128" i="2"/>
  <c r="N116" i="2"/>
  <c r="N110" i="2"/>
  <c r="N98" i="2"/>
  <c r="N74" i="2"/>
  <c r="N62" i="2"/>
  <c r="N50" i="2"/>
  <c r="N38" i="2"/>
  <c r="N26" i="2"/>
  <c r="N14" i="2"/>
  <c r="N131" i="2"/>
  <c r="N118" i="2"/>
  <c r="N108" i="2"/>
  <c r="N96" i="2"/>
  <c r="N84" i="2"/>
  <c r="N60" i="2"/>
  <c r="N48" i="2"/>
  <c r="N36" i="2"/>
  <c r="N24" i="2"/>
  <c r="N12" i="2"/>
  <c r="N129" i="2"/>
  <c r="N106" i="2"/>
  <c r="N94" i="2"/>
  <c r="N82" i="2"/>
  <c r="N70" i="2"/>
  <c r="N58" i="2"/>
  <c r="N46" i="2"/>
  <c r="N34" i="2"/>
  <c r="N22" i="2"/>
  <c r="N10" i="2"/>
  <c r="N127" i="2"/>
  <c r="N115" i="2"/>
  <c r="N104" i="2"/>
  <c r="N92" i="2"/>
  <c r="N80" i="2"/>
  <c r="N68" i="2"/>
  <c r="N56" i="2"/>
  <c r="N44" i="2"/>
  <c r="N32" i="2"/>
  <c r="N20" i="2"/>
  <c r="N8" i="2"/>
  <c r="N125" i="2"/>
  <c r="N103" i="2"/>
  <c r="N91" i="2"/>
  <c r="N79" i="2"/>
  <c r="N67" i="2"/>
  <c r="N55" i="2"/>
  <c r="N43" i="2"/>
  <c r="N31" i="2"/>
  <c r="N19" i="2"/>
  <c r="N7" i="2"/>
  <c r="N136" i="2"/>
  <c r="N124" i="2"/>
  <c r="N128" i="1"/>
  <c r="N106" i="1"/>
  <c r="N84" i="1"/>
  <c r="N67" i="1"/>
  <c r="N45" i="1"/>
  <c r="N23" i="1"/>
  <c r="N4" i="1"/>
  <c r="N127" i="1"/>
  <c r="N105" i="1"/>
  <c r="N83" i="1"/>
  <c r="N64" i="1"/>
  <c r="N44" i="1"/>
  <c r="N22" i="1"/>
  <c r="N124" i="1"/>
  <c r="N104" i="1"/>
  <c r="N82" i="1"/>
  <c r="N60" i="1"/>
  <c r="N43" i="1"/>
  <c r="N21" i="1"/>
  <c r="N120" i="1"/>
  <c r="N103" i="1"/>
  <c r="N81" i="1"/>
  <c r="N59" i="1"/>
  <c r="N40" i="1"/>
  <c r="N20" i="1"/>
  <c r="N119" i="1"/>
  <c r="N100" i="1"/>
  <c r="N80" i="1"/>
  <c r="N58" i="1"/>
  <c r="N36" i="1"/>
  <c r="N19" i="1"/>
  <c r="N118" i="1"/>
  <c r="N96" i="1"/>
  <c r="N79" i="1"/>
  <c r="N57" i="1"/>
  <c r="N35" i="1"/>
  <c r="N16" i="1"/>
  <c r="N117" i="1"/>
  <c r="N95" i="1"/>
  <c r="N76" i="1"/>
  <c r="N56" i="1"/>
  <c r="N34" i="1"/>
  <c r="N12" i="1"/>
  <c r="N116" i="1"/>
  <c r="N94" i="1"/>
  <c r="N72" i="1"/>
  <c r="N55" i="1"/>
  <c r="N33" i="1"/>
  <c r="N11" i="1"/>
  <c r="N132" i="1"/>
  <c r="N115" i="1"/>
  <c r="N93" i="1"/>
  <c r="N71" i="1"/>
  <c r="N52" i="1"/>
  <c r="N32" i="1"/>
  <c r="N10" i="1"/>
  <c r="N131" i="1"/>
  <c r="N112" i="1"/>
  <c r="N92" i="1"/>
  <c r="N70" i="1"/>
  <c r="N48" i="1"/>
  <c r="N31" i="1"/>
  <c r="N9" i="1"/>
  <c r="N130" i="1"/>
  <c r="N108" i="1"/>
  <c r="N91" i="1"/>
  <c r="N69" i="1"/>
  <c r="N47" i="1"/>
  <c r="N28" i="1"/>
  <c r="N8" i="1"/>
  <c r="N129" i="1"/>
  <c r="N107" i="1"/>
  <c r="N88" i="1"/>
  <c r="N68" i="1"/>
  <c r="N46" i="1"/>
  <c r="N24" i="1"/>
  <c r="N7" i="1"/>
  <c r="N121" i="1"/>
  <c r="N109" i="1"/>
  <c r="N97" i="1"/>
  <c r="N85" i="1"/>
  <c r="N73" i="1"/>
  <c r="N61" i="1"/>
  <c r="N49" i="1"/>
  <c r="N37" i="1"/>
  <c r="N25" i="1"/>
  <c r="N13" i="1"/>
  <c r="N126" i="1"/>
  <c r="N114" i="1"/>
  <c r="N102" i="1"/>
  <c r="N90" i="1"/>
  <c r="N78" i="1"/>
  <c r="N66" i="1"/>
  <c r="N54" i="1"/>
  <c r="N42" i="1"/>
  <c r="N30" i="1"/>
  <c r="N18" i="1"/>
  <c r="N6" i="1"/>
  <c r="N125" i="1"/>
  <c r="N113" i="1"/>
  <c r="N101" i="1"/>
  <c r="N89" i="1"/>
  <c r="N77" i="1"/>
  <c r="N65" i="1"/>
  <c r="N53" i="1"/>
  <c r="N41" i="1"/>
  <c r="N29" i="1"/>
  <c r="N17" i="1"/>
  <c r="N5" i="1"/>
  <c r="N123" i="1"/>
  <c r="N111" i="1"/>
  <c r="N99" i="1"/>
  <c r="N87" i="1"/>
  <c r="N75" i="1"/>
  <c r="N63" i="1"/>
  <c r="N51" i="1"/>
  <c r="N39" i="1"/>
  <c r="N27" i="1"/>
  <c r="N15" i="1"/>
  <c r="N3" i="1"/>
  <c r="N122" i="1"/>
  <c r="N110" i="1"/>
  <c r="N98" i="1"/>
  <c r="N86" i="1"/>
  <c r="N74" i="1"/>
  <c r="N62" i="1"/>
  <c r="N50" i="1"/>
  <c r="N38" i="1"/>
  <c r="N26" i="1"/>
  <c r="N14" i="1"/>
  <c r="W140" i="1"/>
  <c r="X137" i="1" s="1"/>
  <c r="R2" i="1"/>
  <c r="W146" i="2"/>
  <c r="X143" i="2" s="1"/>
  <c r="O139" i="2" l="1"/>
  <c r="O137" i="2"/>
  <c r="O138" i="2"/>
  <c r="O55" i="2"/>
  <c r="X142" i="2"/>
  <c r="O126" i="2"/>
  <c r="O9" i="2"/>
  <c r="O68" i="2"/>
  <c r="O70" i="2"/>
  <c r="O108" i="2"/>
  <c r="O128" i="2"/>
  <c r="O130" i="2"/>
  <c r="O120" i="2"/>
  <c r="O121" i="2"/>
  <c r="O30" i="2"/>
  <c r="O54" i="2"/>
  <c r="O67" i="2"/>
  <c r="O80" i="2"/>
  <c r="O82" i="2"/>
  <c r="O118" i="2"/>
  <c r="O11" i="2"/>
  <c r="O13" i="2"/>
  <c r="O132" i="2"/>
  <c r="O4" i="2"/>
  <c r="O66" i="2"/>
  <c r="O57" i="2"/>
  <c r="O79" i="2"/>
  <c r="O92" i="2"/>
  <c r="O94" i="2"/>
  <c r="O131" i="2"/>
  <c r="O23" i="2"/>
  <c r="O25" i="2"/>
  <c r="O3" i="2"/>
  <c r="O122" i="2"/>
  <c r="O102" i="2"/>
  <c r="O5" i="2"/>
  <c r="O45" i="2"/>
  <c r="X145" i="2"/>
  <c r="O91" i="2"/>
  <c r="O104" i="2"/>
  <c r="O106" i="2"/>
  <c r="O14" i="2"/>
  <c r="O35" i="2"/>
  <c r="O37" i="2"/>
  <c r="O15" i="2"/>
  <c r="O123" i="2"/>
  <c r="O81" i="2"/>
  <c r="O41" i="2"/>
  <c r="O21" i="2"/>
  <c r="X144" i="2"/>
  <c r="O103" i="2"/>
  <c r="O115" i="2"/>
  <c r="O129" i="2"/>
  <c r="O26" i="2"/>
  <c r="O47" i="2"/>
  <c r="O49" i="2"/>
  <c r="O27" i="2"/>
  <c r="O133" i="2"/>
  <c r="O114" i="2"/>
  <c r="O77" i="2"/>
  <c r="O16" i="2"/>
  <c r="O125" i="2"/>
  <c r="O127" i="2"/>
  <c r="O12" i="2"/>
  <c r="O38" i="2"/>
  <c r="O59" i="2"/>
  <c r="O61" i="2"/>
  <c r="O39" i="2"/>
  <c r="O134" i="2"/>
  <c r="O33" i="2"/>
  <c r="O113" i="2"/>
  <c r="O52" i="2"/>
  <c r="O24" i="2"/>
  <c r="O50" i="2"/>
  <c r="O71" i="2"/>
  <c r="O73" i="2"/>
  <c r="O51" i="2"/>
  <c r="O135" i="2"/>
  <c r="O69" i="2"/>
  <c r="O28" i="2"/>
  <c r="O90" i="2"/>
  <c r="O136" i="2"/>
  <c r="O8" i="2"/>
  <c r="O10" i="2"/>
  <c r="O36" i="2"/>
  <c r="O62" i="2"/>
  <c r="O83" i="2"/>
  <c r="O85" i="2"/>
  <c r="O63" i="2"/>
  <c r="O29" i="2"/>
  <c r="O105" i="2"/>
  <c r="O6" i="2"/>
  <c r="O93" i="2"/>
  <c r="O7" i="2"/>
  <c r="O20" i="2"/>
  <c r="O22" i="2"/>
  <c r="O48" i="2"/>
  <c r="O74" i="2"/>
  <c r="O95" i="2"/>
  <c r="O97" i="2"/>
  <c r="O75" i="2"/>
  <c r="O65" i="2"/>
  <c r="O40" i="2"/>
  <c r="O42" i="2"/>
  <c r="O100" i="2"/>
  <c r="O19" i="2"/>
  <c r="O32" i="2"/>
  <c r="O34" i="2"/>
  <c r="O60" i="2"/>
  <c r="O98" i="2"/>
  <c r="O107" i="2"/>
  <c r="O109" i="2"/>
  <c r="O87" i="2"/>
  <c r="O101" i="2"/>
  <c r="O76" i="2"/>
  <c r="O78" i="2"/>
  <c r="O17" i="2"/>
  <c r="O31" i="2"/>
  <c r="O44" i="2"/>
  <c r="O46" i="2"/>
  <c r="O84" i="2"/>
  <c r="O110" i="2"/>
  <c r="O117" i="2"/>
  <c r="O119" i="2"/>
  <c r="O99" i="2"/>
  <c r="O88" i="2"/>
  <c r="O112" i="2"/>
  <c r="O2" i="2"/>
  <c r="O124" i="2"/>
  <c r="O43" i="2"/>
  <c r="O56" i="2"/>
  <c r="O58" i="2"/>
  <c r="O96" i="2"/>
  <c r="O116" i="2"/>
  <c r="O72" i="2"/>
  <c r="O86" i="2"/>
  <c r="O111" i="2"/>
  <c r="O89" i="2"/>
  <c r="O53" i="2"/>
  <c r="O64" i="2"/>
  <c r="O18" i="2"/>
  <c r="O3" i="1"/>
  <c r="O17" i="1"/>
  <c r="O30" i="1"/>
  <c r="O49" i="1"/>
  <c r="O120" i="1"/>
  <c r="O44" i="1"/>
  <c r="O128" i="1"/>
  <c r="O8" i="1"/>
  <c r="O11" i="1"/>
  <c r="O16" i="1"/>
  <c r="O15" i="1"/>
  <c r="O29" i="1"/>
  <c r="O42" i="1"/>
  <c r="O61" i="1"/>
  <c r="O47" i="1"/>
  <c r="O64" i="1"/>
  <c r="O91" i="1"/>
  <c r="O108" i="1"/>
  <c r="O33" i="1"/>
  <c r="O35" i="1"/>
  <c r="O27" i="1"/>
  <c r="O41" i="1"/>
  <c r="O54" i="1"/>
  <c r="O73" i="1"/>
  <c r="O70" i="1"/>
  <c r="O83" i="1"/>
  <c r="O131" i="1"/>
  <c r="O9" i="1"/>
  <c r="O55" i="1"/>
  <c r="O57" i="1"/>
  <c r="O39" i="1"/>
  <c r="O53" i="1"/>
  <c r="O66" i="1"/>
  <c r="O85" i="1"/>
  <c r="O21" i="1"/>
  <c r="O105" i="1"/>
  <c r="O7" i="1"/>
  <c r="O31" i="1"/>
  <c r="O72" i="1"/>
  <c r="O79" i="1"/>
  <c r="O51" i="1"/>
  <c r="O65" i="1"/>
  <c r="O78" i="1"/>
  <c r="O97" i="1"/>
  <c r="O43" i="1"/>
  <c r="O127" i="1"/>
  <c r="O24" i="1"/>
  <c r="O112" i="1"/>
  <c r="O94" i="1"/>
  <c r="O96" i="1"/>
  <c r="O63" i="1"/>
  <c r="O77" i="1"/>
  <c r="O90" i="1"/>
  <c r="O109" i="1"/>
  <c r="O60" i="1"/>
  <c r="O69" i="1"/>
  <c r="O46" i="1"/>
  <c r="O10" i="1"/>
  <c r="O116" i="1"/>
  <c r="O118" i="1"/>
  <c r="O75" i="1"/>
  <c r="O89" i="1"/>
  <c r="O102" i="1"/>
  <c r="O121" i="1"/>
  <c r="O82" i="1"/>
  <c r="O4" i="1"/>
  <c r="O68" i="1"/>
  <c r="O32" i="1"/>
  <c r="O12" i="1"/>
  <c r="O19" i="1"/>
  <c r="O26" i="1"/>
  <c r="O74" i="1"/>
  <c r="O87" i="1"/>
  <c r="O101" i="1"/>
  <c r="O114" i="1"/>
  <c r="O20" i="1"/>
  <c r="O104" i="1"/>
  <c r="O23" i="1"/>
  <c r="O88" i="1"/>
  <c r="O52" i="1"/>
  <c r="O34" i="1"/>
  <c r="O36" i="1"/>
  <c r="O38" i="1"/>
  <c r="O86" i="1"/>
  <c r="O99" i="1"/>
  <c r="O113" i="1"/>
  <c r="O126" i="1"/>
  <c r="O40" i="1"/>
  <c r="O124" i="1"/>
  <c r="O45" i="1"/>
  <c r="O107" i="1"/>
  <c r="O71" i="1"/>
  <c r="O56" i="1"/>
  <c r="O58" i="1"/>
  <c r="O2" i="1"/>
  <c r="O14" i="1"/>
  <c r="O62" i="1"/>
  <c r="O98" i="1"/>
  <c r="O111" i="1"/>
  <c r="O125" i="1"/>
  <c r="O13" i="1"/>
  <c r="O59" i="1"/>
  <c r="O28" i="1"/>
  <c r="O67" i="1"/>
  <c r="O129" i="1"/>
  <c r="O93" i="1"/>
  <c r="O76" i="1"/>
  <c r="O80" i="1"/>
  <c r="O50" i="1"/>
  <c r="O110" i="1"/>
  <c r="O123" i="1"/>
  <c r="O6" i="1"/>
  <c r="O25" i="1"/>
  <c r="O81" i="1"/>
  <c r="O48" i="1"/>
  <c r="O84" i="1"/>
  <c r="O130" i="1"/>
  <c r="O115" i="1"/>
  <c r="O95" i="1"/>
  <c r="O100" i="1"/>
  <c r="X136" i="1"/>
  <c r="X139" i="1"/>
  <c r="X138" i="1"/>
  <c r="O122" i="1"/>
  <c r="O5" i="1"/>
  <c r="O18" i="1"/>
  <c r="O37" i="1"/>
  <c r="O103" i="1"/>
  <c r="O22" i="1"/>
  <c r="O106" i="1"/>
  <c r="O92" i="1"/>
  <c r="O132" i="1"/>
  <c r="O117" i="1"/>
  <c r="O119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<sst xmlns="http://schemas.openxmlformats.org/spreadsheetml/2006/main" count="7815" uniqueCount="158">
  <si>
    <t>Mathwelt 2 Themenbuch Sem 2.pdf</t>
  </si>
  <si>
    <t>Globale Entwicklung und Frieden</t>
  </si>
  <si>
    <t>Stufe 1</t>
  </si>
  <si>
    <t>Welt</t>
  </si>
  <si>
    <t>Geschlechter und Gleichstellung</t>
  </si>
  <si>
    <t>Arbeit</t>
  </si>
  <si>
    <t>Stufe 2</t>
  </si>
  <si>
    <t>Mann</t>
  </si>
  <si>
    <t>Partner</t>
  </si>
  <si>
    <t>Person</t>
  </si>
  <si>
    <t>Recht</t>
  </si>
  <si>
    <t>Gesundheit</t>
  </si>
  <si>
    <t>Beratung</t>
  </si>
  <si>
    <t>Entwicklung</t>
  </si>
  <si>
    <t>Unterstützung</t>
  </si>
  <si>
    <t>Kulturelle Identitäten und interkulturelle Verständigung</t>
  </si>
  <si>
    <t>Art</t>
  </si>
  <si>
    <t>Werte</t>
  </si>
  <si>
    <t>Natürliche Umwelt und Ressourcen</t>
  </si>
  <si>
    <t>Arten</t>
  </si>
  <si>
    <t>Berg</t>
  </si>
  <si>
    <t>Erde</t>
  </si>
  <si>
    <t>Material</t>
  </si>
  <si>
    <t>Politik, Demokratie und Menschenrechte</t>
  </si>
  <si>
    <t>Gesetz</t>
  </si>
  <si>
    <t>Rechte</t>
  </si>
  <si>
    <t>Wert</t>
  </si>
  <si>
    <t>Wirtschaft und Konsum</t>
  </si>
  <si>
    <t>Hersteller</t>
  </si>
  <si>
    <t>Anteil</t>
  </si>
  <si>
    <t>Körper</t>
  </si>
  <si>
    <t>Geld</t>
  </si>
  <si>
    <t>gleich</t>
  </si>
  <si>
    <t>Stufe 3</t>
  </si>
  <si>
    <t>Gleichheit</t>
  </si>
  <si>
    <t>Stimme</t>
  </si>
  <si>
    <t>Aufgaben</t>
  </si>
  <si>
    <t>Begegnung</t>
  </si>
  <si>
    <t>Brauch</t>
  </si>
  <si>
    <t>Stein</t>
  </si>
  <si>
    <t>Mehrheit</t>
  </si>
  <si>
    <t>Kunde</t>
  </si>
  <si>
    <t>Tausch</t>
  </si>
  <si>
    <t>Kind</t>
  </si>
  <si>
    <t>Verteilung</t>
  </si>
  <si>
    <t>Bildung</t>
  </si>
  <si>
    <t>Fest</t>
  </si>
  <si>
    <t>Energie</t>
  </si>
  <si>
    <t>Gruppe</t>
  </si>
  <si>
    <t>Produkt</t>
  </si>
  <si>
    <t>Produktion</t>
  </si>
  <si>
    <t>Quote</t>
  </si>
  <si>
    <t>Alter</t>
  </si>
  <si>
    <t>Rolle</t>
  </si>
  <si>
    <t>Tier</t>
  </si>
  <si>
    <t>Marke</t>
  </si>
  <si>
    <t>Macht</t>
  </si>
  <si>
    <t>Wasser</t>
  </si>
  <si>
    <t>Ordnung</t>
  </si>
  <si>
    <t>Entscheidung</t>
  </si>
  <si>
    <t>Verpackung</t>
  </si>
  <si>
    <t>Regeln</t>
  </si>
  <si>
    <t>Leben</t>
  </si>
  <si>
    <t>Stufe 4</t>
  </si>
  <si>
    <t>Lebenserwartung</t>
  </si>
  <si>
    <t>Unterschied</t>
  </si>
  <si>
    <t>Essen</t>
  </si>
  <si>
    <t>Unterschiede</t>
  </si>
  <si>
    <t>Kleidung</t>
  </si>
  <si>
    <t>Gehalt</t>
  </si>
  <si>
    <t>Mensch</t>
  </si>
  <si>
    <t>Pflanze</t>
  </si>
  <si>
    <t>Kosten</t>
  </si>
  <si>
    <t>Leistung</t>
  </si>
  <si>
    <t>System</t>
  </si>
  <si>
    <t>Erwachsene</t>
  </si>
  <si>
    <t>Rein</t>
  </si>
  <si>
    <t>Wohnen</t>
  </si>
  <si>
    <t>Ernährung</t>
  </si>
  <si>
    <t>Boden</t>
  </si>
  <si>
    <t>Familie</t>
  </si>
  <si>
    <t>Verbrauch</t>
  </si>
  <si>
    <t>Wasserverbrauch</t>
  </si>
  <si>
    <t>Preis</t>
  </si>
  <si>
    <t>Angebot</t>
  </si>
  <si>
    <t>Einkauf</t>
  </si>
  <si>
    <t>Kauf</t>
  </si>
  <si>
    <t>Ware</t>
  </si>
  <si>
    <t>Sport</t>
  </si>
  <si>
    <t>Freiheit</t>
  </si>
  <si>
    <t>Luft</t>
  </si>
  <si>
    <t>Transport</t>
  </si>
  <si>
    <t>Land</t>
  </si>
  <si>
    <t>Landschaft</t>
  </si>
  <si>
    <t>Gemeinschaft</t>
  </si>
  <si>
    <t>Markt</t>
  </si>
  <si>
    <t>Wahl</t>
  </si>
  <si>
    <t>Wetter</t>
  </si>
  <si>
    <t>Hilfe</t>
  </si>
  <si>
    <t>Region</t>
  </si>
  <si>
    <t>Regional</t>
  </si>
  <si>
    <t>Pflege</t>
  </si>
  <si>
    <t>Verkauf</t>
  </si>
  <si>
    <t>Handel</t>
  </si>
  <si>
    <t>Schutz</t>
  </si>
  <si>
    <t>Ausbildung</t>
  </si>
  <si>
    <t>Lohn</t>
  </si>
  <si>
    <t>Bewegung</t>
  </si>
  <si>
    <t>Bevölkerung</t>
  </si>
  <si>
    <t>Geschäft</t>
  </si>
  <si>
    <t>Natur</t>
  </si>
  <si>
    <t>Gesellschaft</t>
  </si>
  <si>
    <t>Wald</t>
  </si>
  <si>
    <t>Repräsentation</t>
  </si>
  <si>
    <t>Vereinbarkeit</t>
  </si>
  <si>
    <t>PDF</t>
  </si>
  <si>
    <t>Seite</t>
  </si>
  <si>
    <t>Leitidee</t>
  </si>
  <si>
    <t>Stufe</t>
  </si>
  <si>
    <t>Begriff</t>
  </si>
  <si>
    <t>Exakt</t>
  </si>
  <si>
    <t>Flexion</t>
  </si>
  <si>
    <t>Kompositum</t>
  </si>
  <si>
    <t>Wortteil</t>
  </si>
  <si>
    <t>Anzahl_Gesamt</t>
  </si>
  <si>
    <t>Score_Gewichtet</t>
  </si>
  <si>
    <t>Mathwelt 2 Themenbuch Sem 1.pdf</t>
  </si>
  <si>
    <t>Nation</t>
  </si>
  <si>
    <t>Umwelt</t>
  </si>
  <si>
    <t>Kunst</t>
  </si>
  <si>
    <t>Musik</t>
  </si>
  <si>
    <t>Frau</t>
  </si>
  <si>
    <t>Nahrung</t>
  </si>
  <si>
    <t>Konsum</t>
  </si>
  <si>
    <t>Sonne</t>
  </si>
  <si>
    <t>Feiertag</t>
  </si>
  <si>
    <t>Austausch</t>
  </si>
  <si>
    <t>Anzahl</t>
  </si>
  <si>
    <t>Rang</t>
  </si>
  <si>
    <t>Schulbuchseite</t>
  </si>
  <si>
    <t>Summe Score</t>
  </si>
  <si>
    <t>Thema</t>
  </si>
  <si>
    <t>Stufe BNE-Bezug</t>
  </si>
  <si>
    <t>Reflexionstiefe</t>
  </si>
  <si>
    <t>Stufe 0</t>
  </si>
  <si>
    <t>Total</t>
  </si>
  <si>
    <t>Einschätzung Potenzial</t>
  </si>
  <si>
    <t>Proportionen</t>
  </si>
  <si>
    <t>Gewicht und Volumen</t>
  </si>
  <si>
    <t>Impressum und Nachweise</t>
  </si>
  <si>
    <t>Keine Aufgaben</t>
  </si>
  <si>
    <t>Symmetrien</t>
  </si>
  <si>
    <t>Ornamente und Parkette</t>
  </si>
  <si>
    <t>Dividieren</t>
  </si>
  <si>
    <t>Projekte</t>
  </si>
  <si>
    <t>hoch</t>
  </si>
  <si>
    <t>Längen und Flächen</t>
  </si>
  <si>
    <t>mittel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</si>
</sst>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18" fillId="0" borderId="0" xfId="0" applyFont="1"/>
    <xf numFmtId="164" fontId="0" fillId="0" borderId="0" xfId="0" applyNumberFormat="1"/>
    <xf numFmtId="9" fontId="0" fillId="0" borderId="0" xfId="42" applyFont="1"/>
    <xf numFmtId="0" fontId="16" fillId="0" borderId="0" xfId="0" applyFont="1"/>
  </cellXfs>
  <cellStyles count="43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Prozent" xfId="42" builtinId="5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6">
    <dxf>
      <numFmt numFmtId="164" formatCode="0.0"/>
    </dxf>
    <dxf>
      <numFmt numFmtId="164" formatCode="0.0"/>
    </dxf>
    <dxf>
      <font>
        <b/>
      </font>
      <numFmt numFmtId="0" formatCode="General"/>
    </dxf>
    <dxf>
      <numFmt numFmtId="164" formatCode="0.0"/>
    </dxf>
    <dxf>
      <numFmt numFmtId="164" formatCode="0.0"/>
    </dxf>
    <dxf>
      <font>
        <b/>
      </font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8E790A-7050-B044-8587-4CE8D321764A}" name="Tabelle1" displayName="Tabelle1" ref="A1:K867" totalsRowShown="0">
  <autoFilter ref="A1:K867" xr:uid="{C38E790A-7050-B044-8587-4CE8D321764A}"/>
  <tableColumns count="11">
    <tableColumn id="1" xr3:uid="{B21019DE-452E-D34F-9F70-BCD5BA87E4A3}" name="PDF"/>
    <tableColumn id="2" xr3:uid="{0FD6D661-C43E-6B48-AF28-BA86EDE2E7BE}" name="Seite"/>
    <tableColumn id="3" xr3:uid="{3E889BB3-B893-454D-95DF-4413280F827B}" name="Leitidee"/>
    <tableColumn id="4" xr3:uid="{6BDCCE9F-005F-D748-85F0-5644559740D7}" name="Stufe"/>
    <tableColumn id="5" xr3:uid="{4AFB74B7-AF83-5C46-886A-BFD737B98859}" name="Begriff"/>
    <tableColumn id="6" xr3:uid="{56D57550-5E09-8647-B582-60B4F79CCDD7}" name="Exakt"/>
    <tableColumn id="7" xr3:uid="{FEDDA066-338A-FB42-AE19-4EF151DFAADC}" name="Flexion"/>
    <tableColumn id="8" xr3:uid="{58FD3C66-2402-E24D-BAD8-BF7567F6A10F}" name="Kompositum"/>
    <tableColumn id="9" xr3:uid="{2FFB89E0-7C1A-9243-8E14-21D4D486DF2D}" name="Wortteil"/>
    <tableColumn id="10" xr3:uid="{788C8429-BCBD-7241-940B-1075219E3FDF}" name="Anzahl_Gesamt"/>
    <tableColumn id="11" xr3:uid="{6CC61056-BAE3-C74C-89FA-BD2259317B2E}" name="Score_Gewichte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754E729-4656-6D46-80EC-F6406F044BBC}" name="Tabelle35" displayName="Tabelle35" ref="Q1:Y132" totalsRowShown="0">
  <autoFilter ref="Q1:Y132" xr:uid="{F754E729-4656-6D46-80EC-F6406F044BBC}"/>
  <sortState xmlns:xlrd2="http://schemas.microsoft.com/office/spreadsheetml/2017/richdata2" ref="Q2:X113">
    <sortCondition ref="Q1:Q113"/>
  </sortState>
  <tableColumns count="9">
    <tableColumn id="1" xr3:uid="{545C463E-64AF-CC4F-9487-061B939F1DD6}" name="Seite"/>
    <tableColumn id="11" xr3:uid="{55D92858-1514-124F-931B-35AB6812A68D}" name="Schulbuchseite" dataDxfId="5">
      <calculatedColumnFormula>Tabelle35[[#This Row],[Seite]]-0</calculatedColumnFormula>
    </tableColumn>
    <tableColumn id="2" xr3:uid="{3632AA1D-6F08-A74D-B2B3-2B13FED65274}" name="Anzahl"/>
    <tableColumn id="3" xr3:uid="{E76B3460-05CD-DB42-A5D1-2C8391BBE956}" name="Rang"/>
    <tableColumn id="4" xr3:uid="{FC3CA071-D095-3A4E-8C0F-B50DD7C52819}" name="Summe Score" dataDxfId="4">
      <calculatedColumnFormula array="1">SUMPRODUCT((Tabelle1[Seite]=Q2)*Tabelle1[Score_Gewichtet])</calculatedColumnFormula>
    </tableColumn>
    <tableColumn id="9" xr3:uid="{3F5AE567-B9D8-C843-A23C-BE8281829A4A}" name="Thema" dataDxfId="3"/>
    <tableColumn id="5" xr3:uid="{4FB3D976-7239-9141-B95D-7EA2EC32984B}" name="Stufe BNE-Bezug"/>
    <tableColumn id="7" xr3:uid="{5E25E05D-80CD-C747-BE95-0D139FC4A6DB}" name="Reflexionstiefe"/>
    <tableColumn id="6" xr3:uid="{8B683C14-23DF-774E-B359-AE560C98BC80}" name="Einschätzung Potenzia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AE87935-06A9-6541-9240-0BCD79127846}" name="Tabelle2" displayName="Tabelle2" ref="A1:K1069" totalsRowShown="0">
  <autoFilter ref="A1:K1069" xr:uid="{DAE87935-06A9-6541-9240-0BCD79127846}"/>
  <tableColumns count="11">
    <tableColumn id="1" xr3:uid="{8412A200-5575-704C-9754-8C51AC2E65FE}" name="PDF"/>
    <tableColumn id="2" xr3:uid="{A0E41E81-31F0-4844-A056-59ED9ACAEF6C}" name="Seite"/>
    <tableColumn id="3" xr3:uid="{A739F160-15EE-1948-87FB-9F6DD3F57CB4}" name="Leitidee"/>
    <tableColumn id="4" xr3:uid="{8DC7BE90-7B42-C74A-B54B-5246010EEE9D}" name="Stufe"/>
    <tableColumn id="5" xr3:uid="{750D9028-0A13-FA4F-BA12-080B9E8ECEE3}" name="Begriff"/>
    <tableColumn id="6" xr3:uid="{AD451196-4887-C54C-A367-C6F80B595F59}" name="Exakt"/>
    <tableColumn id="7" xr3:uid="{AA7CD86A-F9F9-4C4C-AA23-0633B3A66A31}" name="Flexion"/>
    <tableColumn id="8" xr3:uid="{5453C5A2-4025-DB4F-BC65-E27DF7616239}" name="Kompositum"/>
    <tableColumn id="9" xr3:uid="{AE5445BB-E906-254D-B160-CEBAF2130A98}" name="Wortteil"/>
    <tableColumn id="10" xr3:uid="{4C6F9352-B573-6B45-B8D9-A58507DB3471}" name="Anzahl_Gesamt"/>
    <tableColumn id="11" xr3:uid="{9D467A18-86C8-2449-AB2F-199BB8230CFC}" name="Score_Gewichte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2B0440C-D186-9C4F-8C1E-0E346BCDA83C}" name="Tabelle3" displayName="Tabelle3" ref="Q1:Y139" totalsRowShown="0">
  <autoFilter ref="Q1:Y139" xr:uid="{D2B0440C-D186-9C4F-8C1E-0E346BCDA83C}"/>
  <sortState xmlns:xlrd2="http://schemas.microsoft.com/office/spreadsheetml/2017/richdata2" ref="Q2:X113">
    <sortCondition ref="Q1:Q113"/>
  </sortState>
  <tableColumns count="9">
    <tableColumn id="1" xr3:uid="{EFEF6C2C-B0B1-2843-AA1C-5C7D39A67449}" name="Seite"/>
    <tableColumn id="11" xr3:uid="{C526E140-2A00-F74C-81F2-38F658F945F6}" name="Schulbuchseite" dataDxfId="2">
      <calculatedColumnFormula>Tabelle3[[#This Row],[Seite]]-0</calculatedColumnFormula>
    </tableColumn>
    <tableColumn id="2" xr3:uid="{FE1851BE-DA2B-7D4C-817D-BB97B85D1027}" name="Anzahl"/>
    <tableColumn id="3" xr3:uid="{3B7306AC-84D8-6C49-A623-55B412AEDAD4}" name="Rang"/>
    <tableColumn id="4" xr3:uid="{6ACC64E6-9DD4-5449-83D1-76AF3288663B}" name="Summe Score" dataDxfId="1">
      <calculatedColumnFormula array="1">SUMPRODUCT((Tabelle2[Seite]=Q2)*Tabelle2[Score_Gewichtet])</calculatedColumnFormula>
    </tableColumn>
    <tableColumn id="9" xr3:uid="{5D44ACE8-4F60-8446-B05D-C09E754EF7F6}" name="Thema" dataDxfId="0"/>
    <tableColumn id="5" xr3:uid="{665070FD-7004-C94B-BBDC-9BA66202553B}" name="Stufe BNE-Bezug"/>
    <tableColumn id="7" xr3:uid="{0C1B2882-4968-2642-A534-80EBBDF131A9}" name="Reflexionstiefe"/>
    <tableColumn id="6" xr3:uid="{71A81B72-FCE5-6343-B6A7-BFC94E9A71F2}" name="Einschätzung Potenzi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1429A-6359-C049-B77A-BC742A18DF18}">
  <dimension ref="A1:Y867"/>
  <sheetViews>
    <sheetView tabSelected="1" topLeftCell="J53" workbookViewId="0">
      <selection activeCell="Y81" sqref="Y81"/>
    </sheetView>
  </sheetViews>
  <sheetFormatPr baseColWidth="10" defaultRowHeight="16" x14ac:dyDescent="0.2"/>
  <cols>
    <col min="8" max="8" width="14.1640625" customWidth="1"/>
    <col min="10" max="10" width="16.5" customWidth="1"/>
    <col min="11" max="11" width="17.5" customWidth="1"/>
  </cols>
  <sheetData>
    <row r="1" spans="1:25" x14ac:dyDescent="0.2">
      <c r="A1" t="s">
        <v>115</v>
      </c>
      <c r="B1" t="s">
        <v>116</v>
      </c>
      <c r="C1" t="s">
        <v>117</v>
      </c>
      <c r="D1" t="s">
        <v>118</v>
      </c>
      <c r="E1" t="s">
        <v>119</v>
      </c>
      <c r="F1" t="s">
        <v>120</v>
      </c>
      <c r="G1" t="s">
        <v>121</v>
      </c>
      <c r="H1" t="s">
        <v>122</v>
      </c>
      <c r="I1" t="s">
        <v>123</v>
      </c>
      <c r="J1" t="s">
        <v>124</v>
      </c>
      <c r="K1" t="s">
        <v>125</v>
      </c>
      <c r="M1" t="s">
        <v>116</v>
      </c>
      <c r="N1" t="s">
        <v>137</v>
      </c>
      <c r="O1" t="s">
        <v>138</v>
      </c>
      <c r="Q1" t="s">
        <v>116</v>
      </c>
      <c r="R1" t="s">
        <v>139</v>
      </c>
      <c r="S1" t="s">
        <v>137</v>
      </c>
      <c r="T1" t="s">
        <v>138</v>
      </c>
      <c r="U1" t="s">
        <v>140</v>
      </c>
      <c r="V1" t="s">
        <v>141</v>
      </c>
      <c r="W1" t="s">
        <v>142</v>
      </c>
      <c r="X1" t="s">
        <v>143</v>
      </c>
      <c r="Y1" t="s">
        <v>146</v>
      </c>
    </row>
    <row r="2" spans="1:25" x14ac:dyDescent="0.2">
      <c r="A2" t="s">
        <v>126</v>
      </c>
      <c r="B2">
        <v>2</v>
      </c>
      <c r="C2" t="s">
        <v>4</v>
      </c>
      <c r="D2" t="s">
        <v>2</v>
      </c>
      <c r="E2" t="s">
        <v>5</v>
      </c>
      <c r="F2">
        <v>0</v>
      </c>
      <c r="G2">
        <v>0</v>
      </c>
      <c r="H2">
        <v>0</v>
      </c>
      <c r="I2">
        <v>1</v>
      </c>
      <c r="J2">
        <v>1</v>
      </c>
      <c r="K2">
        <v>0.1</v>
      </c>
      <c r="M2" cm="1">
        <f t="array" ref="M2:M132">_xlfn.UNIQUE(B$2:B$867)</f>
        <v>2</v>
      </c>
      <c r="N2">
        <f t="shared" ref="N2:N33" si="0">COUNTIF(B$2:B$867, M2)</f>
        <v>22</v>
      </c>
      <c r="O2">
        <f>RANK(N2, $N$2:$N$132)</f>
        <v>1</v>
      </c>
      <c r="Q2">
        <v>2</v>
      </c>
      <c r="R2" s="1">
        <f>Tabelle35[[#This Row],[Seite]]-0</f>
        <v>2</v>
      </c>
      <c r="U2" s="2"/>
      <c r="V2" s="2" t="s">
        <v>150</v>
      </c>
    </row>
    <row r="3" spans="1:25" x14ac:dyDescent="0.2">
      <c r="A3" t="s">
        <v>126</v>
      </c>
      <c r="B3">
        <v>2</v>
      </c>
      <c r="C3" t="s">
        <v>4</v>
      </c>
      <c r="D3" t="s">
        <v>6</v>
      </c>
      <c r="E3" t="s">
        <v>5</v>
      </c>
      <c r="F3">
        <v>0</v>
      </c>
      <c r="G3">
        <v>0</v>
      </c>
      <c r="H3">
        <v>0</v>
      </c>
      <c r="I3">
        <v>1</v>
      </c>
      <c r="J3">
        <v>1</v>
      </c>
      <c r="K3">
        <v>0.1</v>
      </c>
      <c r="M3">
        <v>3</v>
      </c>
      <c r="N3">
        <f t="shared" si="0"/>
        <v>7</v>
      </c>
      <c r="O3">
        <f t="shared" ref="O3:O66" si="1">RANK(N3, $N$2:$N$132)</f>
        <v>47</v>
      </c>
      <c r="Q3">
        <v>3</v>
      </c>
      <c r="R3" s="1">
        <f>Tabelle35[[#This Row],[Seite]]-0</f>
        <v>3</v>
      </c>
      <c r="U3" s="2"/>
      <c r="V3" s="2" t="s">
        <v>150</v>
      </c>
    </row>
    <row r="4" spans="1:25" x14ac:dyDescent="0.2">
      <c r="A4" t="s">
        <v>126</v>
      </c>
      <c r="B4">
        <v>2</v>
      </c>
      <c r="C4" t="s">
        <v>4</v>
      </c>
      <c r="D4" t="s">
        <v>2</v>
      </c>
      <c r="E4" t="s">
        <v>7</v>
      </c>
      <c r="F4">
        <v>0</v>
      </c>
      <c r="G4">
        <v>0</v>
      </c>
      <c r="H4">
        <v>1</v>
      </c>
      <c r="I4">
        <v>0</v>
      </c>
      <c r="J4">
        <v>1</v>
      </c>
      <c r="K4">
        <v>0.5</v>
      </c>
      <c r="M4">
        <v>4</v>
      </c>
      <c r="N4">
        <f t="shared" si="0"/>
        <v>5</v>
      </c>
      <c r="O4">
        <f t="shared" si="1"/>
        <v>74</v>
      </c>
      <c r="Q4">
        <v>4</v>
      </c>
      <c r="R4" s="1">
        <f>Tabelle35[[#This Row],[Seite]]-0</f>
        <v>4</v>
      </c>
      <c r="U4" s="2"/>
      <c r="V4" s="2" t="s">
        <v>150</v>
      </c>
    </row>
    <row r="5" spans="1:25" x14ac:dyDescent="0.2">
      <c r="A5" t="s">
        <v>126</v>
      </c>
      <c r="B5">
        <v>2</v>
      </c>
      <c r="C5" t="s">
        <v>4</v>
      </c>
      <c r="D5" t="s">
        <v>2</v>
      </c>
      <c r="E5" t="s">
        <v>8</v>
      </c>
      <c r="F5">
        <v>1</v>
      </c>
      <c r="G5">
        <v>0</v>
      </c>
      <c r="H5">
        <v>1</v>
      </c>
      <c r="I5">
        <v>0</v>
      </c>
      <c r="J5">
        <v>2</v>
      </c>
      <c r="K5">
        <v>1.5</v>
      </c>
      <c r="M5">
        <v>5</v>
      </c>
      <c r="N5">
        <f t="shared" si="0"/>
        <v>20</v>
      </c>
      <c r="O5">
        <f t="shared" si="1"/>
        <v>2</v>
      </c>
      <c r="Q5">
        <v>5</v>
      </c>
      <c r="R5" s="1">
        <f>Tabelle35[[#This Row],[Seite]]-0</f>
        <v>5</v>
      </c>
      <c r="U5" s="2"/>
      <c r="V5" s="2" t="s">
        <v>150</v>
      </c>
    </row>
    <row r="6" spans="1:25" x14ac:dyDescent="0.2">
      <c r="A6" t="s">
        <v>126</v>
      </c>
      <c r="B6">
        <v>2</v>
      </c>
      <c r="C6" t="s">
        <v>4</v>
      </c>
      <c r="D6" t="s">
        <v>2</v>
      </c>
      <c r="E6" t="s">
        <v>9</v>
      </c>
      <c r="F6">
        <v>0</v>
      </c>
      <c r="G6">
        <v>0</v>
      </c>
      <c r="H6">
        <v>0</v>
      </c>
      <c r="I6">
        <v>1</v>
      </c>
      <c r="J6">
        <v>1</v>
      </c>
      <c r="K6">
        <v>0.1</v>
      </c>
      <c r="M6">
        <v>6</v>
      </c>
      <c r="N6">
        <f t="shared" si="0"/>
        <v>3</v>
      </c>
      <c r="O6">
        <f t="shared" si="1"/>
        <v>105</v>
      </c>
      <c r="Q6">
        <v>6</v>
      </c>
      <c r="R6" s="1">
        <f>Tabelle35[[#This Row],[Seite]]-0</f>
        <v>6</v>
      </c>
      <c r="S6">
        <v>3</v>
      </c>
      <c r="T6">
        <v>105</v>
      </c>
      <c r="U6" s="2" cm="1">
        <f t="array" ref="U6">SUMPRODUCT((Tabelle1[Seite]=Q6)*Tabelle1[Score_Gewichtet])</f>
        <v>5</v>
      </c>
      <c r="V6" s="2"/>
    </row>
    <row r="7" spans="1:25" x14ac:dyDescent="0.2">
      <c r="A7" t="s">
        <v>126</v>
      </c>
      <c r="B7">
        <v>2</v>
      </c>
      <c r="C7" t="s">
        <v>4</v>
      </c>
      <c r="D7" t="s">
        <v>6</v>
      </c>
      <c r="E7" t="s">
        <v>10</v>
      </c>
      <c r="F7">
        <v>0</v>
      </c>
      <c r="G7">
        <v>0</v>
      </c>
      <c r="H7">
        <v>0</v>
      </c>
      <c r="I7">
        <v>2</v>
      </c>
      <c r="J7">
        <v>2</v>
      </c>
      <c r="K7">
        <v>0.2</v>
      </c>
      <c r="M7">
        <v>7</v>
      </c>
      <c r="N7">
        <f t="shared" si="0"/>
        <v>5</v>
      </c>
      <c r="O7">
        <f t="shared" si="1"/>
        <v>74</v>
      </c>
      <c r="Q7">
        <v>7</v>
      </c>
      <c r="R7" s="1">
        <f>Tabelle35[[#This Row],[Seite]]-0</f>
        <v>7</v>
      </c>
      <c r="S7">
        <v>5</v>
      </c>
      <c r="T7">
        <v>74</v>
      </c>
      <c r="U7" s="2" cm="1">
        <f t="array" ref="U7">SUMPRODUCT((Tabelle1[Seite]=Q7)*Tabelle1[Score_Gewichtet])</f>
        <v>3.5</v>
      </c>
      <c r="V7" s="2"/>
    </row>
    <row r="8" spans="1:25" x14ac:dyDescent="0.2">
      <c r="A8" t="s">
        <v>126</v>
      </c>
      <c r="B8">
        <v>2</v>
      </c>
      <c r="C8" t="s">
        <v>11</v>
      </c>
      <c r="D8" t="s">
        <v>6</v>
      </c>
      <c r="E8" t="s">
        <v>12</v>
      </c>
      <c r="F8">
        <v>0</v>
      </c>
      <c r="G8">
        <v>0</v>
      </c>
      <c r="H8">
        <v>1</v>
      </c>
      <c r="I8">
        <v>0</v>
      </c>
      <c r="J8">
        <v>1</v>
      </c>
      <c r="K8">
        <v>0.5</v>
      </c>
      <c r="M8">
        <v>8</v>
      </c>
      <c r="N8">
        <f t="shared" si="0"/>
        <v>7</v>
      </c>
      <c r="O8">
        <f t="shared" si="1"/>
        <v>47</v>
      </c>
      <c r="Q8">
        <v>8</v>
      </c>
      <c r="R8" s="1">
        <f>Tabelle35[[#This Row],[Seite]]-0</f>
        <v>8</v>
      </c>
      <c r="S8">
        <v>7</v>
      </c>
      <c r="T8">
        <v>47</v>
      </c>
      <c r="U8" s="2" cm="1">
        <f t="array" ref="U8">SUMPRODUCT((Tabelle1[Seite]=Q8)*Tabelle1[Score_Gewichtet])</f>
        <v>3.9</v>
      </c>
      <c r="V8" s="2"/>
    </row>
    <row r="9" spans="1:25" x14ac:dyDescent="0.2">
      <c r="A9" t="s">
        <v>126</v>
      </c>
      <c r="B9">
        <v>2</v>
      </c>
      <c r="C9" t="s">
        <v>1</v>
      </c>
      <c r="D9" t="s">
        <v>6</v>
      </c>
      <c r="E9" t="s">
        <v>13</v>
      </c>
      <c r="F9">
        <v>0</v>
      </c>
      <c r="G9">
        <v>0</v>
      </c>
      <c r="H9">
        <v>1</v>
      </c>
      <c r="I9">
        <v>1</v>
      </c>
      <c r="J9">
        <v>2</v>
      </c>
      <c r="K9">
        <v>0.6</v>
      </c>
      <c r="M9">
        <v>9</v>
      </c>
      <c r="N9">
        <f t="shared" si="0"/>
        <v>12</v>
      </c>
      <c r="O9">
        <f t="shared" si="1"/>
        <v>10</v>
      </c>
      <c r="Q9">
        <v>9</v>
      </c>
      <c r="R9" s="1">
        <f>Tabelle35[[#This Row],[Seite]]-0</f>
        <v>9</v>
      </c>
      <c r="S9">
        <v>12</v>
      </c>
      <c r="T9">
        <v>10</v>
      </c>
      <c r="U9" s="2" cm="1">
        <f t="array" ref="U9">SUMPRODUCT((Tabelle1[Seite]=Q9)*Tabelle1[Score_Gewichtet])</f>
        <v>5.6499999999999995</v>
      </c>
      <c r="V9" s="2"/>
    </row>
    <row r="10" spans="1:25" x14ac:dyDescent="0.2">
      <c r="A10" t="s">
        <v>126</v>
      </c>
      <c r="B10">
        <v>2</v>
      </c>
      <c r="C10" t="s">
        <v>1</v>
      </c>
      <c r="D10" t="s">
        <v>2</v>
      </c>
      <c r="E10" t="s">
        <v>14</v>
      </c>
      <c r="F10">
        <v>0</v>
      </c>
      <c r="G10">
        <v>0</v>
      </c>
      <c r="H10">
        <v>1</v>
      </c>
      <c r="I10">
        <v>0</v>
      </c>
      <c r="J10">
        <v>1</v>
      </c>
      <c r="K10">
        <v>0.5</v>
      </c>
      <c r="M10">
        <v>10</v>
      </c>
      <c r="N10">
        <f t="shared" si="0"/>
        <v>13</v>
      </c>
      <c r="O10">
        <f t="shared" si="1"/>
        <v>7</v>
      </c>
      <c r="Q10">
        <v>10</v>
      </c>
      <c r="R10" s="1">
        <f>Tabelle35[[#This Row],[Seite]]-0</f>
        <v>10</v>
      </c>
      <c r="S10">
        <v>13</v>
      </c>
      <c r="T10">
        <v>7</v>
      </c>
      <c r="U10" s="2" cm="1">
        <f t="array" ref="U10">SUMPRODUCT((Tabelle1[Seite]=Q10)*Tabelle1[Score_Gewichtet])</f>
        <v>19.850000000000001</v>
      </c>
      <c r="V10" s="2" t="s">
        <v>151</v>
      </c>
    </row>
    <row r="11" spans="1:25" x14ac:dyDescent="0.2">
      <c r="A11" t="s">
        <v>126</v>
      </c>
      <c r="B11">
        <v>2</v>
      </c>
      <c r="C11" t="s">
        <v>1</v>
      </c>
      <c r="D11" t="s">
        <v>2</v>
      </c>
      <c r="E11" t="s">
        <v>3</v>
      </c>
      <c r="F11">
        <v>0</v>
      </c>
      <c r="G11">
        <v>0</v>
      </c>
      <c r="H11">
        <v>1</v>
      </c>
      <c r="I11">
        <v>0</v>
      </c>
      <c r="J11">
        <v>1</v>
      </c>
      <c r="K11">
        <v>0.5</v>
      </c>
      <c r="M11">
        <v>11</v>
      </c>
      <c r="N11">
        <f t="shared" si="0"/>
        <v>2</v>
      </c>
      <c r="O11">
        <f t="shared" si="1"/>
        <v>115</v>
      </c>
      <c r="Q11">
        <v>11</v>
      </c>
      <c r="R11" s="1">
        <f>Tabelle35[[#This Row],[Seite]]-0</f>
        <v>11</v>
      </c>
      <c r="S11">
        <v>2</v>
      </c>
      <c r="T11">
        <v>115</v>
      </c>
      <c r="U11" s="2" cm="1">
        <f t="array" ref="U11">SUMPRODUCT((Tabelle1[Seite]=Q11)*Tabelle1[Score_Gewichtet])</f>
        <v>1.75</v>
      </c>
      <c r="V11" s="2"/>
    </row>
    <row r="12" spans="1:25" x14ac:dyDescent="0.2">
      <c r="A12" t="s">
        <v>126</v>
      </c>
      <c r="B12">
        <v>2</v>
      </c>
      <c r="C12" t="s">
        <v>15</v>
      </c>
      <c r="D12" t="s">
        <v>2</v>
      </c>
      <c r="E12" t="s">
        <v>16</v>
      </c>
      <c r="F12">
        <v>1</v>
      </c>
      <c r="G12">
        <v>0</v>
      </c>
      <c r="H12">
        <v>1</v>
      </c>
      <c r="I12">
        <v>2</v>
      </c>
      <c r="J12">
        <v>4</v>
      </c>
      <c r="K12">
        <v>1.7</v>
      </c>
      <c r="M12">
        <v>12</v>
      </c>
      <c r="N12">
        <f t="shared" si="0"/>
        <v>2</v>
      </c>
      <c r="O12">
        <f t="shared" si="1"/>
        <v>115</v>
      </c>
      <c r="Q12">
        <v>12</v>
      </c>
      <c r="R12" s="1">
        <f>Tabelle35[[#This Row],[Seite]]-0</f>
        <v>12</v>
      </c>
      <c r="S12">
        <v>2</v>
      </c>
      <c r="T12">
        <v>115</v>
      </c>
      <c r="U12" s="2" cm="1">
        <f t="array" ref="U12">SUMPRODUCT((Tabelle1[Seite]=Q12)*Tabelle1[Score_Gewichtet])</f>
        <v>1.5</v>
      </c>
      <c r="V12" s="2"/>
    </row>
    <row r="13" spans="1:25" x14ac:dyDescent="0.2">
      <c r="A13" t="s">
        <v>126</v>
      </c>
      <c r="B13">
        <v>2</v>
      </c>
      <c r="C13" t="s">
        <v>15</v>
      </c>
      <c r="D13" t="s">
        <v>6</v>
      </c>
      <c r="E13" t="s">
        <v>17</v>
      </c>
      <c r="F13">
        <v>0</v>
      </c>
      <c r="G13">
        <v>0</v>
      </c>
      <c r="H13">
        <v>1</v>
      </c>
      <c r="I13">
        <v>0</v>
      </c>
      <c r="J13">
        <v>1</v>
      </c>
      <c r="K13">
        <v>0.6</v>
      </c>
      <c r="M13">
        <v>14</v>
      </c>
      <c r="N13">
        <f t="shared" si="0"/>
        <v>4</v>
      </c>
      <c r="O13">
        <f t="shared" si="1"/>
        <v>89</v>
      </c>
      <c r="Q13">
        <v>14</v>
      </c>
      <c r="R13" s="1">
        <f>Tabelle35[[#This Row],[Seite]]-0</f>
        <v>14</v>
      </c>
      <c r="S13">
        <v>4</v>
      </c>
      <c r="T13">
        <v>89</v>
      </c>
      <c r="U13" s="2" cm="1">
        <f t="array" ref="U13">SUMPRODUCT((Tabelle1[Seite]=Q13)*Tabelle1[Score_Gewichtet])</f>
        <v>2.1</v>
      </c>
      <c r="V13" s="2"/>
    </row>
    <row r="14" spans="1:25" x14ac:dyDescent="0.2">
      <c r="A14" t="s">
        <v>126</v>
      </c>
      <c r="B14">
        <v>2</v>
      </c>
      <c r="C14" t="s">
        <v>18</v>
      </c>
      <c r="D14" t="s">
        <v>6</v>
      </c>
      <c r="E14" t="s">
        <v>19</v>
      </c>
      <c r="F14">
        <v>0</v>
      </c>
      <c r="G14">
        <v>1</v>
      </c>
      <c r="H14">
        <v>0</v>
      </c>
      <c r="I14">
        <v>0</v>
      </c>
      <c r="J14">
        <v>1</v>
      </c>
      <c r="K14">
        <v>0.75</v>
      </c>
      <c r="M14">
        <v>15</v>
      </c>
      <c r="N14">
        <f t="shared" si="0"/>
        <v>4</v>
      </c>
      <c r="O14">
        <f t="shared" si="1"/>
        <v>89</v>
      </c>
      <c r="Q14">
        <v>15</v>
      </c>
      <c r="R14" s="1">
        <f>Tabelle35[[#This Row],[Seite]]-0</f>
        <v>15</v>
      </c>
      <c r="S14">
        <v>4</v>
      </c>
      <c r="T14">
        <v>89</v>
      </c>
      <c r="U14" s="2" cm="1">
        <f t="array" ref="U14">SUMPRODUCT((Tabelle1[Seite]=Q14)*Tabelle1[Score_Gewichtet])</f>
        <v>1.6</v>
      </c>
      <c r="V14" s="2"/>
    </row>
    <row r="15" spans="1:25" x14ac:dyDescent="0.2">
      <c r="A15" t="s">
        <v>126</v>
      </c>
      <c r="B15">
        <v>2</v>
      </c>
      <c r="C15" t="s">
        <v>18</v>
      </c>
      <c r="D15" t="s">
        <v>2</v>
      </c>
      <c r="E15" t="s">
        <v>20</v>
      </c>
      <c r="F15">
        <v>0</v>
      </c>
      <c r="G15">
        <v>0</v>
      </c>
      <c r="H15">
        <v>1</v>
      </c>
      <c r="I15">
        <v>0</v>
      </c>
      <c r="J15">
        <v>1</v>
      </c>
      <c r="K15">
        <v>0.5</v>
      </c>
      <c r="M15">
        <v>16</v>
      </c>
      <c r="N15">
        <f t="shared" si="0"/>
        <v>5</v>
      </c>
      <c r="O15">
        <f t="shared" si="1"/>
        <v>74</v>
      </c>
      <c r="Q15">
        <v>16</v>
      </c>
      <c r="R15" s="1">
        <f>Tabelle35[[#This Row],[Seite]]-0</f>
        <v>16</v>
      </c>
      <c r="S15">
        <v>5</v>
      </c>
      <c r="T15">
        <v>74</v>
      </c>
      <c r="U15" s="2" cm="1">
        <f t="array" ref="U15">SUMPRODUCT((Tabelle1[Seite]=Q15)*Tabelle1[Score_Gewichtet])</f>
        <v>8.6</v>
      </c>
      <c r="V15" s="2"/>
    </row>
    <row r="16" spans="1:25" x14ac:dyDescent="0.2">
      <c r="A16" t="s">
        <v>126</v>
      </c>
      <c r="B16">
        <v>2</v>
      </c>
      <c r="C16" t="s">
        <v>18</v>
      </c>
      <c r="D16" t="s">
        <v>2</v>
      </c>
      <c r="E16" t="s">
        <v>21</v>
      </c>
      <c r="F16">
        <v>0</v>
      </c>
      <c r="G16">
        <v>0</v>
      </c>
      <c r="H16">
        <v>0</v>
      </c>
      <c r="I16">
        <v>1</v>
      </c>
      <c r="J16">
        <v>1</v>
      </c>
      <c r="K16">
        <v>0.1</v>
      </c>
      <c r="M16">
        <v>17</v>
      </c>
      <c r="N16">
        <f t="shared" si="0"/>
        <v>11</v>
      </c>
      <c r="O16">
        <f t="shared" si="1"/>
        <v>16</v>
      </c>
      <c r="Q16">
        <v>17</v>
      </c>
      <c r="R16" s="1">
        <f>Tabelle35[[#This Row],[Seite]]-0</f>
        <v>17</v>
      </c>
      <c r="S16">
        <v>11</v>
      </c>
      <c r="T16">
        <v>16</v>
      </c>
      <c r="U16" s="2" cm="1">
        <f t="array" ref="U16">SUMPRODUCT((Tabelle1[Seite]=Q16)*Tabelle1[Score_Gewichtet])</f>
        <v>12.6</v>
      </c>
      <c r="V16" s="2"/>
    </row>
    <row r="17" spans="1:22" x14ac:dyDescent="0.2">
      <c r="A17" t="s">
        <v>126</v>
      </c>
      <c r="B17">
        <v>2</v>
      </c>
      <c r="C17" t="s">
        <v>18</v>
      </c>
      <c r="D17" t="s">
        <v>6</v>
      </c>
      <c r="E17" t="s">
        <v>22</v>
      </c>
      <c r="F17">
        <v>0</v>
      </c>
      <c r="G17">
        <v>0</v>
      </c>
      <c r="H17">
        <v>1</v>
      </c>
      <c r="I17">
        <v>1</v>
      </c>
      <c r="J17">
        <v>2</v>
      </c>
      <c r="K17">
        <v>0.6</v>
      </c>
      <c r="M17">
        <v>18</v>
      </c>
      <c r="N17">
        <f t="shared" si="0"/>
        <v>2</v>
      </c>
      <c r="O17">
        <f t="shared" si="1"/>
        <v>115</v>
      </c>
      <c r="Q17">
        <v>18</v>
      </c>
      <c r="R17" s="1">
        <f>Tabelle35[[#This Row],[Seite]]-0</f>
        <v>18</v>
      </c>
      <c r="S17">
        <v>2</v>
      </c>
      <c r="T17">
        <v>115</v>
      </c>
      <c r="U17" s="2" cm="1">
        <f t="array" ref="U17">SUMPRODUCT((Tabelle1[Seite]=Q17)*Tabelle1[Score_Gewichtet])</f>
        <v>0.6</v>
      </c>
      <c r="V17" s="2"/>
    </row>
    <row r="18" spans="1:22" x14ac:dyDescent="0.2">
      <c r="A18" t="s">
        <v>126</v>
      </c>
      <c r="B18">
        <v>2</v>
      </c>
      <c r="C18" t="s">
        <v>23</v>
      </c>
      <c r="D18" t="s">
        <v>6</v>
      </c>
      <c r="E18" t="s">
        <v>24</v>
      </c>
      <c r="F18">
        <v>0</v>
      </c>
      <c r="G18">
        <v>0</v>
      </c>
      <c r="H18">
        <v>1</v>
      </c>
      <c r="I18">
        <v>0</v>
      </c>
      <c r="J18">
        <v>1</v>
      </c>
      <c r="K18">
        <v>0.5</v>
      </c>
      <c r="M18">
        <v>19</v>
      </c>
      <c r="N18">
        <f t="shared" si="0"/>
        <v>1</v>
      </c>
      <c r="O18">
        <f t="shared" si="1"/>
        <v>128</v>
      </c>
      <c r="Q18">
        <v>19</v>
      </c>
      <c r="R18" s="1">
        <f>Tabelle35[[#This Row],[Seite]]-0</f>
        <v>19</v>
      </c>
      <c r="S18">
        <v>1</v>
      </c>
      <c r="T18">
        <v>128</v>
      </c>
      <c r="U18" s="2" cm="1">
        <f t="array" ref="U18">SUMPRODUCT((Tabelle1[Seite]=Q18)*Tabelle1[Score_Gewichtet])</f>
        <v>0.5</v>
      </c>
      <c r="V18" s="2"/>
    </row>
    <row r="19" spans="1:22" x14ac:dyDescent="0.2">
      <c r="A19" t="s">
        <v>126</v>
      </c>
      <c r="B19">
        <v>2</v>
      </c>
      <c r="C19" t="s">
        <v>23</v>
      </c>
      <c r="D19" t="s">
        <v>2</v>
      </c>
      <c r="E19" t="s">
        <v>10</v>
      </c>
      <c r="F19">
        <v>0</v>
      </c>
      <c r="G19">
        <v>0</v>
      </c>
      <c r="H19">
        <v>0</v>
      </c>
      <c r="I19">
        <v>2</v>
      </c>
      <c r="J19">
        <v>2</v>
      </c>
      <c r="K19">
        <v>0.2</v>
      </c>
      <c r="M19">
        <v>20</v>
      </c>
      <c r="N19">
        <f t="shared" si="0"/>
        <v>11</v>
      </c>
      <c r="O19">
        <f t="shared" si="1"/>
        <v>16</v>
      </c>
      <c r="Q19">
        <v>20</v>
      </c>
      <c r="R19" s="1">
        <f>Tabelle35[[#This Row],[Seite]]-0</f>
        <v>20</v>
      </c>
      <c r="S19">
        <v>11</v>
      </c>
      <c r="T19">
        <v>16</v>
      </c>
      <c r="U19" s="2" cm="1">
        <f t="array" ref="U19">SUMPRODUCT((Tabelle1[Seite]=Q19)*Tabelle1[Score_Gewichtet])</f>
        <v>7.6499999999999986</v>
      </c>
      <c r="V19" s="2"/>
    </row>
    <row r="20" spans="1:22" x14ac:dyDescent="0.2">
      <c r="A20" t="s">
        <v>126</v>
      </c>
      <c r="B20">
        <v>2</v>
      </c>
      <c r="C20" t="s">
        <v>23</v>
      </c>
      <c r="D20" t="s">
        <v>6</v>
      </c>
      <c r="E20" t="s">
        <v>25</v>
      </c>
      <c r="F20">
        <v>0</v>
      </c>
      <c r="G20">
        <v>0</v>
      </c>
      <c r="H20">
        <v>0</v>
      </c>
      <c r="I20">
        <v>2</v>
      </c>
      <c r="J20">
        <v>2</v>
      </c>
      <c r="K20">
        <v>0.2</v>
      </c>
      <c r="M20">
        <v>21</v>
      </c>
      <c r="N20">
        <f t="shared" si="0"/>
        <v>6</v>
      </c>
      <c r="O20">
        <f t="shared" si="1"/>
        <v>58</v>
      </c>
      <c r="Q20">
        <v>21</v>
      </c>
      <c r="R20" s="1">
        <f>Tabelle35[[#This Row],[Seite]]-0</f>
        <v>21</v>
      </c>
      <c r="S20">
        <v>6</v>
      </c>
      <c r="T20">
        <v>58</v>
      </c>
      <c r="U20" s="2" cm="1">
        <f t="array" ref="U20">SUMPRODUCT((Tabelle1[Seite]=Q20)*Tabelle1[Score_Gewichtet])</f>
        <v>2.5</v>
      </c>
      <c r="V20" s="2"/>
    </row>
    <row r="21" spans="1:22" x14ac:dyDescent="0.2">
      <c r="A21" t="s">
        <v>126</v>
      </c>
      <c r="B21">
        <v>2</v>
      </c>
      <c r="C21" t="s">
        <v>23</v>
      </c>
      <c r="D21" t="s">
        <v>2</v>
      </c>
      <c r="E21" t="s">
        <v>26</v>
      </c>
      <c r="F21">
        <v>0</v>
      </c>
      <c r="G21">
        <v>0</v>
      </c>
      <c r="H21">
        <v>0</v>
      </c>
      <c r="I21">
        <v>1</v>
      </c>
      <c r="J21">
        <v>1</v>
      </c>
      <c r="K21">
        <v>0.1</v>
      </c>
      <c r="M21">
        <v>22</v>
      </c>
      <c r="N21">
        <f t="shared" si="0"/>
        <v>2</v>
      </c>
      <c r="O21">
        <f t="shared" si="1"/>
        <v>115</v>
      </c>
      <c r="Q21">
        <v>22</v>
      </c>
      <c r="R21" s="1">
        <f>Tabelle35[[#This Row],[Seite]]-0</f>
        <v>22</v>
      </c>
      <c r="S21">
        <v>2</v>
      </c>
      <c r="T21">
        <v>115</v>
      </c>
      <c r="U21" s="2" cm="1">
        <f t="array" ref="U21">SUMPRODUCT((Tabelle1[Seite]=Q21)*Tabelle1[Score_Gewichtet])</f>
        <v>1.75</v>
      </c>
      <c r="V21" s="2"/>
    </row>
    <row r="22" spans="1:22" x14ac:dyDescent="0.2">
      <c r="A22" t="s">
        <v>126</v>
      </c>
      <c r="B22">
        <v>2</v>
      </c>
      <c r="C22" t="s">
        <v>27</v>
      </c>
      <c r="D22" t="s">
        <v>2</v>
      </c>
      <c r="E22" t="s">
        <v>5</v>
      </c>
      <c r="F22">
        <v>0</v>
      </c>
      <c r="G22">
        <v>0</v>
      </c>
      <c r="H22">
        <v>0</v>
      </c>
      <c r="I22">
        <v>1</v>
      </c>
      <c r="J22">
        <v>1</v>
      </c>
      <c r="K22">
        <v>0.1</v>
      </c>
      <c r="M22">
        <v>23</v>
      </c>
      <c r="N22">
        <f t="shared" si="0"/>
        <v>3</v>
      </c>
      <c r="O22">
        <f t="shared" si="1"/>
        <v>105</v>
      </c>
      <c r="Q22">
        <v>23</v>
      </c>
      <c r="R22" s="1">
        <f>Tabelle35[[#This Row],[Seite]]-0</f>
        <v>23</v>
      </c>
      <c r="S22">
        <v>3</v>
      </c>
      <c r="T22">
        <v>105</v>
      </c>
      <c r="U22" s="2" cm="1">
        <f t="array" ref="U22">SUMPRODUCT((Tabelle1[Seite]=Q22)*Tabelle1[Score_Gewichtet])</f>
        <v>1.4</v>
      </c>
      <c r="V22" s="2"/>
    </row>
    <row r="23" spans="1:22" x14ac:dyDescent="0.2">
      <c r="A23" t="s">
        <v>126</v>
      </c>
      <c r="B23">
        <v>2</v>
      </c>
      <c r="C23" t="s">
        <v>27</v>
      </c>
      <c r="D23" t="s">
        <v>6</v>
      </c>
      <c r="E23" t="s">
        <v>28</v>
      </c>
      <c r="F23">
        <v>0</v>
      </c>
      <c r="G23">
        <v>0</v>
      </c>
      <c r="H23">
        <v>0</v>
      </c>
      <c r="I23">
        <v>1</v>
      </c>
      <c r="J23">
        <v>1</v>
      </c>
      <c r="K23">
        <v>0.1</v>
      </c>
      <c r="M23">
        <v>24</v>
      </c>
      <c r="N23">
        <f t="shared" si="0"/>
        <v>8</v>
      </c>
      <c r="O23">
        <f t="shared" si="1"/>
        <v>35</v>
      </c>
      <c r="Q23">
        <v>24</v>
      </c>
      <c r="R23" s="1">
        <f>Tabelle35[[#This Row],[Seite]]-0</f>
        <v>24</v>
      </c>
      <c r="S23">
        <v>8</v>
      </c>
      <c r="T23">
        <v>35</v>
      </c>
      <c r="U23" s="2" cm="1">
        <f t="array" ref="U23">SUMPRODUCT((Tabelle1[Seite]=Q23)*Tabelle1[Score_Gewichtet])</f>
        <v>3.9000000000000004</v>
      </c>
      <c r="V23" s="2"/>
    </row>
    <row r="24" spans="1:22" x14ac:dyDescent="0.2">
      <c r="A24" t="s">
        <v>126</v>
      </c>
      <c r="B24">
        <v>3</v>
      </c>
      <c r="C24" t="s">
        <v>4</v>
      </c>
      <c r="D24" t="s">
        <v>6</v>
      </c>
      <c r="E24" t="s">
        <v>29</v>
      </c>
      <c r="F24">
        <v>0</v>
      </c>
      <c r="G24">
        <v>0</v>
      </c>
      <c r="H24">
        <v>0</v>
      </c>
      <c r="I24">
        <v>1</v>
      </c>
      <c r="J24">
        <v>1</v>
      </c>
      <c r="K24">
        <v>0.1</v>
      </c>
      <c r="M24">
        <v>25</v>
      </c>
      <c r="N24">
        <f t="shared" si="0"/>
        <v>3</v>
      </c>
      <c r="O24">
        <f t="shared" si="1"/>
        <v>105</v>
      </c>
      <c r="Q24">
        <v>25</v>
      </c>
      <c r="R24" s="1">
        <f>Tabelle35[[#This Row],[Seite]]-0</f>
        <v>25</v>
      </c>
      <c r="S24">
        <v>3</v>
      </c>
      <c r="T24">
        <v>105</v>
      </c>
      <c r="U24" s="2" cm="1">
        <f t="array" ref="U24">SUMPRODUCT((Tabelle1[Seite]=Q24)*Tabelle1[Score_Gewichtet])</f>
        <v>1.3</v>
      </c>
      <c r="V24" s="2"/>
    </row>
    <row r="25" spans="1:22" x14ac:dyDescent="0.2">
      <c r="A25" t="s">
        <v>126</v>
      </c>
      <c r="B25">
        <v>3</v>
      </c>
      <c r="C25" t="s">
        <v>4</v>
      </c>
      <c r="D25" t="s">
        <v>2</v>
      </c>
      <c r="E25" t="s">
        <v>5</v>
      </c>
      <c r="F25">
        <v>0</v>
      </c>
      <c r="G25">
        <v>0</v>
      </c>
      <c r="H25">
        <v>0</v>
      </c>
      <c r="I25">
        <v>2</v>
      </c>
      <c r="J25">
        <v>2</v>
      </c>
      <c r="K25">
        <v>0.2</v>
      </c>
      <c r="M25">
        <v>26</v>
      </c>
      <c r="N25">
        <f t="shared" si="0"/>
        <v>3</v>
      </c>
      <c r="O25">
        <f t="shared" si="1"/>
        <v>105</v>
      </c>
      <c r="Q25">
        <v>26</v>
      </c>
      <c r="R25" s="1">
        <f>Tabelle35[[#This Row],[Seite]]-0</f>
        <v>26</v>
      </c>
      <c r="S25">
        <v>3</v>
      </c>
      <c r="T25">
        <v>105</v>
      </c>
      <c r="U25" s="2" cm="1">
        <f t="array" ref="U25">SUMPRODUCT((Tabelle1[Seite]=Q25)*Tabelle1[Score_Gewichtet])</f>
        <v>2.35</v>
      </c>
      <c r="V25" s="2"/>
    </row>
    <row r="26" spans="1:22" x14ac:dyDescent="0.2">
      <c r="A26" t="s">
        <v>126</v>
      </c>
      <c r="B26">
        <v>3</v>
      </c>
      <c r="C26" t="s">
        <v>4</v>
      </c>
      <c r="D26" t="s">
        <v>6</v>
      </c>
      <c r="E26" t="s">
        <v>5</v>
      </c>
      <c r="F26">
        <v>0</v>
      </c>
      <c r="G26">
        <v>0</v>
      </c>
      <c r="H26">
        <v>0</v>
      </c>
      <c r="I26">
        <v>2</v>
      </c>
      <c r="J26">
        <v>2</v>
      </c>
      <c r="K26">
        <v>0.2</v>
      </c>
      <c r="M26">
        <v>27</v>
      </c>
      <c r="N26">
        <f t="shared" si="0"/>
        <v>5</v>
      </c>
      <c r="O26">
        <f t="shared" si="1"/>
        <v>74</v>
      </c>
      <c r="Q26">
        <v>27</v>
      </c>
      <c r="R26" s="1">
        <f>Tabelle35[[#This Row],[Seite]]-0</f>
        <v>27</v>
      </c>
      <c r="S26">
        <v>5</v>
      </c>
      <c r="T26">
        <v>74</v>
      </c>
      <c r="U26" s="2" cm="1">
        <f t="array" ref="U26">SUMPRODUCT((Tabelle1[Seite]=Q26)*Tabelle1[Score_Gewichtet])</f>
        <v>2.35</v>
      </c>
      <c r="V26" s="2"/>
    </row>
    <row r="27" spans="1:22" x14ac:dyDescent="0.2">
      <c r="A27" t="s">
        <v>126</v>
      </c>
      <c r="B27">
        <v>3</v>
      </c>
      <c r="C27" t="s">
        <v>11</v>
      </c>
      <c r="D27" t="s">
        <v>2</v>
      </c>
      <c r="E27" t="s">
        <v>30</v>
      </c>
      <c r="F27">
        <v>0</v>
      </c>
      <c r="G27">
        <v>0</v>
      </c>
      <c r="H27">
        <v>1</v>
      </c>
      <c r="I27">
        <v>0</v>
      </c>
      <c r="J27">
        <v>1</v>
      </c>
      <c r="K27">
        <v>0.5</v>
      </c>
      <c r="M27">
        <v>28</v>
      </c>
      <c r="N27">
        <f t="shared" si="0"/>
        <v>4</v>
      </c>
      <c r="O27">
        <f t="shared" si="1"/>
        <v>89</v>
      </c>
      <c r="Q27">
        <v>28</v>
      </c>
      <c r="R27" s="1">
        <f>Tabelle35[[#This Row],[Seite]]-0</f>
        <v>28</v>
      </c>
      <c r="S27">
        <v>4</v>
      </c>
      <c r="T27">
        <v>89</v>
      </c>
      <c r="U27" s="2" cm="1">
        <f t="array" ref="U27">SUMPRODUCT((Tabelle1[Seite]=Q27)*Tabelle1[Score_Gewichtet])</f>
        <v>0.89999999999999991</v>
      </c>
      <c r="V27" s="2"/>
    </row>
    <row r="28" spans="1:22" x14ac:dyDescent="0.2">
      <c r="A28" t="s">
        <v>126</v>
      </c>
      <c r="B28">
        <v>3</v>
      </c>
      <c r="C28" t="s">
        <v>1</v>
      </c>
      <c r="D28" t="s">
        <v>2</v>
      </c>
      <c r="E28" t="s">
        <v>3</v>
      </c>
      <c r="F28">
        <v>0</v>
      </c>
      <c r="G28">
        <v>0</v>
      </c>
      <c r="H28">
        <v>1</v>
      </c>
      <c r="I28">
        <v>0</v>
      </c>
      <c r="J28">
        <v>1</v>
      </c>
      <c r="K28">
        <v>0.5</v>
      </c>
      <c r="M28">
        <v>29</v>
      </c>
      <c r="N28">
        <f t="shared" si="0"/>
        <v>2</v>
      </c>
      <c r="O28">
        <f t="shared" si="1"/>
        <v>115</v>
      </c>
      <c r="Q28">
        <v>29</v>
      </c>
      <c r="R28" s="1">
        <f>Tabelle35[[#This Row],[Seite]]-0</f>
        <v>29</v>
      </c>
      <c r="S28">
        <v>2</v>
      </c>
      <c r="T28">
        <v>115</v>
      </c>
      <c r="U28" s="2" cm="1">
        <f t="array" ref="U28">SUMPRODUCT((Tabelle1[Seite]=Q28)*Tabelle1[Score_Gewichtet])</f>
        <v>3.5</v>
      </c>
      <c r="V28" s="2"/>
    </row>
    <row r="29" spans="1:22" x14ac:dyDescent="0.2">
      <c r="A29" t="s">
        <v>126</v>
      </c>
      <c r="B29">
        <v>3</v>
      </c>
      <c r="C29" t="s">
        <v>27</v>
      </c>
      <c r="D29" t="s">
        <v>2</v>
      </c>
      <c r="E29" t="s">
        <v>5</v>
      </c>
      <c r="F29">
        <v>0</v>
      </c>
      <c r="G29">
        <v>0</v>
      </c>
      <c r="H29">
        <v>0</v>
      </c>
      <c r="I29">
        <v>2</v>
      </c>
      <c r="J29">
        <v>2</v>
      </c>
      <c r="K29">
        <v>0.2</v>
      </c>
      <c r="M29">
        <v>30</v>
      </c>
      <c r="N29">
        <f t="shared" si="0"/>
        <v>6</v>
      </c>
      <c r="O29">
        <f t="shared" si="1"/>
        <v>58</v>
      </c>
      <c r="Q29">
        <v>30</v>
      </c>
      <c r="R29" s="1">
        <f>Tabelle35[[#This Row],[Seite]]-0</f>
        <v>30</v>
      </c>
      <c r="S29">
        <v>6</v>
      </c>
      <c r="T29">
        <v>58</v>
      </c>
      <c r="U29" s="2" cm="1">
        <f t="array" ref="U29">SUMPRODUCT((Tabelle1[Seite]=Q29)*Tabelle1[Score_Gewichtet])</f>
        <v>5.65</v>
      </c>
      <c r="V29" s="2"/>
    </row>
    <row r="30" spans="1:22" x14ac:dyDescent="0.2">
      <c r="A30" t="s">
        <v>126</v>
      </c>
      <c r="B30">
        <v>3</v>
      </c>
      <c r="C30" t="s">
        <v>27</v>
      </c>
      <c r="D30" t="s">
        <v>2</v>
      </c>
      <c r="E30" t="s">
        <v>31</v>
      </c>
      <c r="F30">
        <v>0</v>
      </c>
      <c r="G30">
        <v>0</v>
      </c>
      <c r="H30">
        <v>1</v>
      </c>
      <c r="I30">
        <v>0</v>
      </c>
      <c r="J30">
        <v>1</v>
      </c>
      <c r="K30">
        <v>0.5</v>
      </c>
      <c r="M30">
        <v>31</v>
      </c>
      <c r="N30">
        <f t="shared" si="0"/>
        <v>5</v>
      </c>
      <c r="O30">
        <f t="shared" si="1"/>
        <v>74</v>
      </c>
      <c r="Q30">
        <v>31</v>
      </c>
      <c r="R30" s="1">
        <f>Tabelle35[[#This Row],[Seite]]-0</f>
        <v>31</v>
      </c>
      <c r="S30">
        <v>5</v>
      </c>
      <c r="T30">
        <v>74</v>
      </c>
      <c r="U30" s="2" cm="1">
        <f t="array" ref="U30">SUMPRODUCT((Tabelle1[Seite]=Q30)*Tabelle1[Score_Gewichtet])</f>
        <v>3.0000000000000004</v>
      </c>
      <c r="V30" s="2"/>
    </row>
    <row r="31" spans="1:22" x14ac:dyDescent="0.2">
      <c r="A31" t="s">
        <v>126</v>
      </c>
      <c r="B31">
        <v>4</v>
      </c>
      <c r="C31" t="s">
        <v>15</v>
      </c>
      <c r="D31" t="s">
        <v>2</v>
      </c>
      <c r="E31" t="s">
        <v>16</v>
      </c>
      <c r="F31">
        <v>0</v>
      </c>
      <c r="G31">
        <v>0</v>
      </c>
      <c r="H31">
        <v>0</v>
      </c>
      <c r="I31">
        <v>1</v>
      </c>
      <c r="J31">
        <v>1</v>
      </c>
      <c r="K31">
        <v>0.1</v>
      </c>
      <c r="M31">
        <v>32</v>
      </c>
      <c r="N31">
        <f t="shared" si="0"/>
        <v>10</v>
      </c>
      <c r="O31">
        <f t="shared" si="1"/>
        <v>20</v>
      </c>
      <c r="Q31">
        <v>32</v>
      </c>
      <c r="R31" s="1">
        <f>Tabelle35[[#This Row],[Seite]]-0</f>
        <v>32</v>
      </c>
      <c r="S31">
        <v>10</v>
      </c>
      <c r="T31">
        <v>20</v>
      </c>
      <c r="U31" s="2" cm="1">
        <f t="array" ref="U31">SUMPRODUCT((Tabelle1[Seite]=Q31)*Tabelle1[Score_Gewichtet])</f>
        <v>11.45</v>
      </c>
      <c r="V31" s="2"/>
    </row>
    <row r="32" spans="1:22" x14ac:dyDescent="0.2">
      <c r="A32" t="s">
        <v>126</v>
      </c>
      <c r="B32">
        <v>4</v>
      </c>
      <c r="C32" t="s">
        <v>18</v>
      </c>
      <c r="D32" t="s">
        <v>6</v>
      </c>
      <c r="E32" t="s">
        <v>19</v>
      </c>
      <c r="F32">
        <v>0</v>
      </c>
      <c r="G32">
        <v>0</v>
      </c>
      <c r="H32">
        <v>0</v>
      </c>
      <c r="I32">
        <v>1</v>
      </c>
      <c r="J32">
        <v>1</v>
      </c>
      <c r="K32">
        <v>0.1</v>
      </c>
      <c r="M32">
        <v>33</v>
      </c>
      <c r="N32">
        <f t="shared" si="0"/>
        <v>2</v>
      </c>
      <c r="O32">
        <f t="shared" si="1"/>
        <v>115</v>
      </c>
      <c r="Q32">
        <v>33</v>
      </c>
      <c r="R32" s="1">
        <f>Tabelle35[[#This Row],[Seite]]-0</f>
        <v>33</v>
      </c>
      <c r="S32">
        <v>2</v>
      </c>
      <c r="T32">
        <v>115</v>
      </c>
      <c r="U32" s="2" cm="1">
        <f t="array" ref="U32">SUMPRODUCT((Tabelle1[Seite]=Q32)*Tabelle1[Score_Gewichtet])</f>
        <v>0.7</v>
      </c>
      <c r="V32" s="2"/>
    </row>
    <row r="33" spans="1:25" x14ac:dyDescent="0.2">
      <c r="A33" t="s">
        <v>126</v>
      </c>
      <c r="B33">
        <v>4</v>
      </c>
      <c r="C33" t="s">
        <v>18</v>
      </c>
      <c r="D33" t="s">
        <v>6</v>
      </c>
      <c r="E33" t="s">
        <v>22</v>
      </c>
      <c r="F33">
        <v>0</v>
      </c>
      <c r="G33">
        <v>0</v>
      </c>
      <c r="H33">
        <v>1</v>
      </c>
      <c r="I33">
        <v>0</v>
      </c>
      <c r="J33">
        <v>1</v>
      </c>
      <c r="K33">
        <v>0.5</v>
      </c>
      <c r="M33">
        <v>34</v>
      </c>
      <c r="N33">
        <f t="shared" si="0"/>
        <v>6</v>
      </c>
      <c r="O33">
        <f t="shared" si="1"/>
        <v>58</v>
      </c>
      <c r="Q33">
        <v>34</v>
      </c>
      <c r="R33" s="1">
        <f>Tabelle35[[#This Row],[Seite]]-0</f>
        <v>34</v>
      </c>
      <c r="S33">
        <v>6</v>
      </c>
      <c r="T33">
        <v>58</v>
      </c>
      <c r="U33" s="2" cm="1">
        <f t="array" ref="U33">SUMPRODUCT((Tabelle1[Seite]=Q33)*Tabelle1[Score_Gewichtet])</f>
        <v>10.75</v>
      </c>
      <c r="V33" s="2"/>
    </row>
    <row r="34" spans="1:25" x14ac:dyDescent="0.2">
      <c r="A34" t="s">
        <v>126</v>
      </c>
      <c r="B34">
        <v>4</v>
      </c>
      <c r="C34" t="s">
        <v>18</v>
      </c>
      <c r="D34" t="s">
        <v>6</v>
      </c>
      <c r="E34" t="s">
        <v>39</v>
      </c>
      <c r="F34">
        <v>0</v>
      </c>
      <c r="G34">
        <v>0</v>
      </c>
      <c r="H34">
        <v>0</v>
      </c>
      <c r="I34">
        <v>1</v>
      </c>
      <c r="J34">
        <v>1</v>
      </c>
      <c r="K34">
        <v>0.1</v>
      </c>
      <c r="M34">
        <v>35</v>
      </c>
      <c r="N34">
        <f t="shared" ref="N34:N65" si="2">COUNTIF(B$2:B$867, M34)</f>
        <v>4</v>
      </c>
      <c r="O34">
        <f t="shared" si="1"/>
        <v>89</v>
      </c>
      <c r="Q34">
        <v>35</v>
      </c>
      <c r="R34" s="1">
        <f>Tabelle35[[#This Row],[Seite]]-0</f>
        <v>35</v>
      </c>
      <c r="S34">
        <v>4</v>
      </c>
      <c r="T34">
        <v>89</v>
      </c>
      <c r="U34" s="2" cm="1">
        <f t="array" ref="U34">SUMPRODUCT((Tabelle1[Seite]=Q34)*Tabelle1[Score_Gewichtet])</f>
        <v>2.1</v>
      </c>
      <c r="V34" s="2"/>
    </row>
    <row r="35" spans="1:25" x14ac:dyDescent="0.2">
      <c r="A35" t="s">
        <v>126</v>
      </c>
      <c r="B35">
        <v>4</v>
      </c>
      <c r="C35" t="s">
        <v>27</v>
      </c>
      <c r="D35" t="s">
        <v>2</v>
      </c>
      <c r="E35" t="s">
        <v>31</v>
      </c>
      <c r="F35">
        <v>0</v>
      </c>
      <c r="G35">
        <v>0</v>
      </c>
      <c r="H35">
        <v>1</v>
      </c>
      <c r="I35">
        <v>0</v>
      </c>
      <c r="J35">
        <v>1</v>
      </c>
      <c r="K35">
        <v>0.5</v>
      </c>
      <c r="M35">
        <v>36</v>
      </c>
      <c r="N35">
        <f t="shared" si="2"/>
        <v>7</v>
      </c>
      <c r="O35">
        <f t="shared" si="1"/>
        <v>47</v>
      </c>
      <c r="Q35">
        <v>36</v>
      </c>
      <c r="R35" s="1">
        <f>Tabelle35[[#This Row],[Seite]]-0</f>
        <v>36</v>
      </c>
      <c r="S35">
        <v>7</v>
      </c>
      <c r="T35">
        <v>47</v>
      </c>
      <c r="U35" s="2" cm="1">
        <f t="array" ref="U35">SUMPRODUCT((Tabelle1[Seite]=Q35)*Tabelle1[Score_Gewichtet])</f>
        <v>9.6999999999999993</v>
      </c>
      <c r="V35" s="2"/>
    </row>
    <row r="36" spans="1:25" x14ac:dyDescent="0.2">
      <c r="A36" t="s">
        <v>126</v>
      </c>
      <c r="B36">
        <v>5</v>
      </c>
      <c r="C36" t="s">
        <v>4</v>
      </c>
      <c r="D36" t="s">
        <v>2</v>
      </c>
      <c r="E36" t="s">
        <v>5</v>
      </c>
      <c r="F36">
        <v>0</v>
      </c>
      <c r="G36">
        <v>2</v>
      </c>
      <c r="H36">
        <v>5</v>
      </c>
      <c r="I36">
        <v>4</v>
      </c>
      <c r="J36">
        <v>11</v>
      </c>
      <c r="K36">
        <v>4.4000000000000004</v>
      </c>
      <c r="M36">
        <v>37</v>
      </c>
      <c r="N36">
        <f t="shared" si="2"/>
        <v>3</v>
      </c>
      <c r="O36">
        <f t="shared" si="1"/>
        <v>105</v>
      </c>
      <c r="Q36">
        <v>37</v>
      </c>
      <c r="R36" s="1">
        <f>Tabelle35[[#This Row],[Seite]]-0</f>
        <v>37</v>
      </c>
      <c r="S36">
        <v>3</v>
      </c>
      <c r="T36">
        <v>105</v>
      </c>
      <c r="U36" s="2" cm="1">
        <f t="array" ref="U36">SUMPRODUCT((Tabelle1[Seite]=Q36)*Tabelle1[Score_Gewichtet])</f>
        <v>3.5</v>
      </c>
      <c r="V36" s="2"/>
    </row>
    <row r="37" spans="1:25" x14ac:dyDescent="0.2">
      <c r="A37" t="s">
        <v>126</v>
      </c>
      <c r="B37">
        <v>5</v>
      </c>
      <c r="C37" t="s">
        <v>4</v>
      </c>
      <c r="D37" t="s">
        <v>6</v>
      </c>
      <c r="E37" t="s">
        <v>5</v>
      </c>
      <c r="F37">
        <v>0</v>
      </c>
      <c r="G37">
        <v>2</v>
      </c>
      <c r="H37">
        <v>5</v>
      </c>
      <c r="I37">
        <v>4</v>
      </c>
      <c r="J37">
        <v>11</v>
      </c>
      <c r="K37">
        <v>4.4000000000000004</v>
      </c>
      <c r="M37">
        <v>38</v>
      </c>
      <c r="N37">
        <f t="shared" si="2"/>
        <v>6</v>
      </c>
      <c r="O37">
        <f t="shared" si="1"/>
        <v>58</v>
      </c>
      <c r="Q37">
        <v>38</v>
      </c>
      <c r="R37" s="1">
        <f>Tabelle35[[#This Row],[Seite]]-0</f>
        <v>38</v>
      </c>
      <c r="S37">
        <v>6</v>
      </c>
      <c r="T37">
        <v>58</v>
      </c>
      <c r="U37" s="2" cm="1">
        <f t="array" ref="U37">SUMPRODUCT((Tabelle1[Seite]=Q37)*Tabelle1[Score_Gewichtet])</f>
        <v>10.95</v>
      </c>
      <c r="V37" s="2"/>
    </row>
    <row r="38" spans="1:25" x14ac:dyDescent="0.2">
      <c r="A38" t="s">
        <v>126</v>
      </c>
      <c r="B38">
        <v>5</v>
      </c>
      <c r="C38" t="s">
        <v>4</v>
      </c>
      <c r="D38" t="s">
        <v>33</v>
      </c>
      <c r="E38" t="s">
        <v>36</v>
      </c>
      <c r="F38">
        <v>18</v>
      </c>
      <c r="G38">
        <v>0</v>
      </c>
      <c r="H38">
        <v>5</v>
      </c>
      <c r="I38">
        <v>0</v>
      </c>
      <c r="J38">
        <v>23</v>
      </c>
      <c r="K38">
        <v>20.6</v>
      </c>
      <c r="M38">
        <v>39</v>
      </c>
      <c r="N38">
        <f t="shared" si="2"/>
        <v>2</v>
      </c>
      <c r="O38">
        <f t="shared" si="1"/>
        <v>115</v>
      </c>
      <c r="Q38">
        <v>39</v>
      </c>
      <c r="R38" s="1">
        <f>Tabelle35[[#This Row],[Seite]]-0</f>
        <v>39</v>
      </c>
      <c r="S38">
        <v>2</v>
      </c>
      <c r="T38">
        <v>115</v>
      </c>
      <c r="U38" s="2" cm="1">
        <f t="array" ref="U38">SUMPRODUCT((Tabelle1[Seite]=Q38)*Tabelle1[Score_Gewichtet])</f>
        <v>1.5</v>
      </c>
      <c r="V38" s="2"/>
    </row>
    <row r="39" spans="1:25" x14ac:dyDescent="0.2">
      <c r="A39" t="s">
        <v>126</v>
      </c>
      <c r="B39">
        <v>5</v>
      </c>
      <c r="C39" t="s">
        <v>4</v>
      </c>
      <c r="D39" t="s">
        <v>2</v>
      </c>
      <c r="E39" t="s">
        <v>48</v>
      </c>
      <c r="F39">
        <v>2</v>
      </c>
      <c r="G39">
        <v>0</v>
      </c>
      <c r="H39">
        <v>1</v>
      </c>
      <c r="I39">
        <v>0</v>
      </c>
      <c r="J39">
        <v>3</v>
      </c>
      <c r="K39">
        <v>2.5</v>
      </c>
      <c r="M39">
        <v>40</v>
      </c>
      <c r="N39">
        <f t="shared" si="2"/>
        <v>7</v>
      </c>
      <c r="O39">
        <f t="shared" si="1"/>
        <v>47</v>
      </c>
      <c r="Q39">
        <v>40</v>
      </c>
      <c r="R39" s="1">
        <f>Tabelle35[[#This Row],[Seite]]-0</f>
        <v>40</v>
      </c>
      <c r="S39">
        <v>7</v>
      </c>
      <c r="T39">
        <v>47</v>
      </c>
      <c r="U39" s="2" cm="1">
        <f t="array" ref="U39">SUMPRODUCT((Tabelle1[Seite]=Q39)*Tabelle1[Score_Gewichtet])</f>
        <v>4.75</v>
      </c>
      <c r="V39" s="2"/>
    </row>
    <row r="40" spans="1:25" x14ac:dyDescent="0.2">
      <c r="A40" t="s">
        <v>126</v>
      </c>
      <c r="B40">
        <v>5</v>
      </c>
      <c r="C40" t="s">
        <v>4</v>
      </c>
      <c r="D40" t="s">
        <v>2</v>
      </c>
      <c r="E40" t="s">
        <v>8</v>
      </c>
      <c r="F40">
        <v>1</v>
      </c>
      <c r="G40">
        <v>0</v>
      </c>
      <c r="H40">
        <v>0</v>
      </c>
      <c r="I40">
        <v>0</v>
      </c>
      <c r="J40">
        <v>1</v>
      </c>
      <c r="K40">
        <v>1</v>
      </c>
      <c r="M40">
        <v>41</v>
      </c>
      <c r="N40">
        <f t="shared" si="2"/>
        <v>6</v>
      </c>
      <c r="O40">
        <f t="shared" si="1"/>
        <v>58</v>
      </c>
      <c r="Q40">
        <v>41</v>
      </c>
      <c r="R40" s="1">
        <f>Tabelle35[[#This Row],[Seite]]-0</f>
        <v>41</v>
      </c>
      <c r="S40">
        <v>6</v>
      </c>
      <c r="T40">
        <v>58</v>
      </c>
      <c r="U40" s="2" cm="1">
        <f t="array" ref="U40">SUMPRODUCT((Tabelle1[Seite]=Q40)*Tabelle1[Score_Gewichtet])</f>
        <v>4.8499999999999996</v>
      </c>
      <c r="V40" s="2"/>
    </row>
    <row r="41" spans="1:25" x14ac:dyDescent="0.2">
      <c r="A41" t="s">
        <v>126</v>
      </c>
      <c r="B41">
        <v>5</v>
      </c>
      <c r="C41" t="s">
        <v>4</v>
      </c>
      <c r="D41" t="s">
        <v>2</v>
      </c>
      <c r="E41" t="s">
        <v>9</v>
      </c>
      <c r="F41">
        <v>0</v>
      </c>
      <c r="G41">
        <v>0</v>
      </c>
      <c r="H41">
        <v>2</v>
      </c>
      <c r="I41">
        <v>0</v>
      </c>
      <c r="J41">
        <v>2</v>
      </c>
      <c r="K41">
        <v>1</v>
      </c>
      <c r="M41">
        <v>42</v>
      </c>
      <c r="N41">
        <f t="shared" si="2"/>
        <v>14</v>
      </c>
      <c r="O41">
        <f t="shared" si="1"/>
        <v>5</v>
      </c>
      <c r="Q41">
        <v>42</v>
      </c>
      <c r="R41" s="1">
        <f>Tabelle35[[#This Row],[Seite]]-0</f>
        <v>42</v>
      </c>
      <c r="S41">
        <v>14</v>
      </c>
      <c r="T41">
        <v>5</v>
      </c>
      <c r="U41" s="2" cm="1">
        <f t="array" ref="U41">SUMPRODUCT((Tabelle1[Seite]=Q41)*Tabelle1[Score_Gewichtet])</f>
        <v>12.199999999999998</v>
      </c>
      <c r="V41" s="2"/>
    </row>
    <row r="42" spans="1:25" x14ac:dyDescent="0.2">
      <c r="A42" t="s">
        <v>126</v>
      </c>
      <c r="B42">
        <v>5</v>
      </c>
      <c r="C42" t="s">
        <v>4</v>
      </c>
      <c r="D42" t="s">
        <v>2</v>
      </c>
      <c r="E42" t="s">
        <v>32</v>
      </c>
      <c r="F42">
        <v>1</v>
      </c>
      <c r="G42">
        <v>1</v>
      </c>
      <c r="H42">
        <v>1</v>
      </c>
      <c r="I42">
        <v>0</v>
      </c>
      <c r="J42">
        <v>3</v>
      </c>
      <c r="K42">
        <v>2.25</v>
      </c>
      <c r="M42">
        <v>43</v>
      </c>
      <c r="N42">
        <f t="shared" si="2"/>
        <v>17</v>
      </c>
      <c r="O42">
        <f t="shared" si="1"/>
        <v>3</v>
      </c>
      <c r="Q42">
        <v>43</v>
      </c>
      <c r="R42" s="1">
        <f>Tabelle35[[#This Row],[Seite]]-0</f>
        <v>43</v>
      </c>
      <c r="S42">
        <v>17</v>
      </c>
      <c r="T42">
        <v>3</v>
      </c>
      <c r="U42" s="2" cm="1">
        <f t="array" ref="U42">SUMPRODUCT((Tabelle1[Seite]=Q42)*Tabelle1[Score_Gewichtet])</f>
        <v>14.950000000000001</v>
      </c>
      <c r="V42" s="2"/>
    </row>
    <row r="43" spans="1:25" x14ac:dyDescent="0.2">
      <c r="A43" t="s">
        <v>126</v>
      </c>
      <c r="B43">
        <v>5</v>
      </c>
      <c r="C43" t="s">
        <v>1</v>
      </c>
      <c r="D43" t="s">
        <v>2</v>
      </c>
      <c r="E43" t="s">
        <v>94</v>
      </c>
      <c r="F43">
        <v>0</v>
      </c>
      <c r="G43">
        <v>0</v>
      </c>
      <c r="H43">
        <v>1</v>
      </c>
      <c r="I43">
        <v>0</v>
      </c>
      <c r="J43">
        <v>1</v>
      </c>
      <c r="K43">
        <v>0.5</v>
      </c>
      <c r="M43">
        <v>44</v>
      </c>
      <c r="N43">
        <f t="shared" si="2"/>
        <v>12</v>
      </c>
      <c r="O43">
        <f t="shared" si="1"/>
        <v>10</v>
      </c>
      <c r="Q43">
        <v>44</v>
      </c>
      <c r="R43" s="1">
        <f>Tabelle35[[#This Row],[Seite]]-0</f>
        <v>44</v>
      </c>
      <c r="S43">
        <v>12</v>
      </c>
      <c r="T43">
        <v>10</v>
      </c>
      <c r="U43" s="2" cm="1">
        <f t="array" ref="U43">SUMPRODUCT((Tabelle1[Seite]=Q43)*Tabelle1[Score_Gewichtet])</f>
        <v>13.45</v>
      </c>
      <c r="V43" s="2"/>
    </row>
    <row r="44" spans="1:25" x14ac:dyDescent="0.2">
      <c r="A44" t="s">
        <v>126</v>
      </c>
      <c r="B44">
        <v>5</v>
      </c>
      <c r="C44" t="s">
        <v>1</v>
      </c>
      <c r="D44" t="s">
        <v>2</v>
      </c>
      <c r="E44" t="s">
        <v>48</v>
      </c>
      <c r="F44">
        <v>2</v>
      </c>
      <c r="G44">
        <v>0</v>
      </c>
      <c r="H44">
        <v>1</v>
      </c>
      <c r="I44">
        <v>0</v>
      </c>
      <c r="J44">
        <v>3</v>
      </c>
      <c r="K44">
        <v>2.5</v>
      </c>
      <c r="M44">
        <v>45</v>
      </c>
      <c r="N44">
        <f t="shared" si="2"/>
        <v>5</v>
      </c>
      <c r="O44">
        <f t="shared" si="1"/>
        <v>74</v>
      </c>
      <c r="Q44">
        <v>45</v>
      </c>
      <c r="R44" s="1">
        <f>Tabelle35[[#This Row],[Seite]]-0</f>
        <v>45</v>
      </c>
      <c r="S44">
        <v>5</v>
      </c>
      <c r="T44">
        <v>74</v>
      </c>
      <c r="U44" s="2" cm="1">
        <f t="array" ref="U44">SUMPRODUCT((Tabelle1[Seite]=Q44)*Tabelle1[Score_Gewichtet])</f>
        <v>5.8</v>
      </c>
      <c r="V44" s="2"/>
    </row>
    <row r="45" spans="1:25" x14ac:dyDescent="0.2">
      <c r="A45" t="s">
        <v>126</v>
      </c>
      <c r="B45">
        <v>5</v>
      </c>
      <c r="C45" t="s">
        <v>1</v>
      </c>
      <c r="D45" t="s">
        <v>2</v>
      </c>
      <c r="E45" t="s">
        <v>14</v>
      </c>
      <c r="F45">
        <v>0</v>
      </c>
      <c r="G45">
        <v>1</v>
      </c>
      <c r="H45">
        <v>0</v>
      </c>
      <c r="I45">
        <v>0</v>
      </c>
      <c r="J45">
        <v>1</v>
      </c>
      <c r="K45">
        <v>0.75</v>
      </c>
      <c r="M45">
        <v>46</v>
      </c>
      <c r="N45">
        <f t="shared" si="2"/>
        <v>9</v>
      </c>
      <c r="O45">
        <f t="shared" si="1"/>
        <v>24</v>
      </c>
      <c r="Q45">
        <v>46</v>
      </c>
      <c r="R45" s="1">
        <f>Tabelle35[[#This Row],[Seite]]-0</f>
        <v>46</v>
      </c>
      <c r="S45">
        <v>9</v>
      </c>
      <c r="T45">
        <v>24</v>
      </c>
      <c r="U45" s="2" cm="1">
        <f t="array" ref="U45">SUMPRODUCT((Tabelle1[Seite]=Q45)*Tabelle1[Score_Gewichtet])</f>
        <v>9.35</v>
      </c>
      <c r="V45" s="2"/>
    </row>
    <row r="46" spans="1:25" x14ac:dyDescent="0.2">
      <c r="A46" t="s">
        <v>126</v>
      </c>
      <c r="B46">
        <v>5</v>
      </c>
      <c r="C46" t="s">
        <v>1</v>
      </c>
      <c r="D46" t="s">
        <v>2</v>
      </c>
      <c r="E46" t="s">
        <v>3</v>
      </c>
      <c r="F46">
        <v>0</v>
      </c>
      <c r="G46">
        <v>0</v>
      </c>
      <c r="H46">
        <v>3</v>
      </c>
      <c r="I46">
        <v>0</v>
      </c>
      <c r="J46">
        <v>3</v>
      </c>
      <c r="K46">
        <v>1.5</v>
      </c>
      <c r="M46">
        <v>47</v>
      </c>
      <c r="N46">
        <f t="shared" si="2"/>
        <v>4</v>
      </c>
      <c r="O46">
        <f t="shared" si="1"/>
        <v>89</v>
      </c>
      <c r="Q46">
        <v>47</v>
      </c>
      <c r="R46" s="1">
        <f>Tabelle35[[#This Row],[Seite]]-0</f>
        <v>47</v>
      </c>
      <c r="S46">
        <v>4</v>
      </c>
      <c r="T46">
        <v>89</v>
      </c>
      <c r="U46" s="2" cm="1">
        <f t="array" ref="U46">SUMPRODUCT((Tabelle1[Seite]=Q46)*Tabelle1[Score_Gewichtet])</f>
        <v>4.5</v>
      </c>
      <c r="V46" s="2"/>
    </row>
    <row r="47" spans="1:25" x14ac:dyDescent="0.2">
      <c r="A47" t="s">
        <v>126</v>
      </c>
      <c r="B47">
        <v>5</v>
      </c>
      <c r="C47" t="s">
        <v>15</v>
      </c>
      <c r="D47" t="s">
        <v>2</v>
      </c>
      <c r="E47" t="s">
        <v>16</v>
      </c>
      <c r="F47">
        <v>0</v>
      </c>
      <c r="G47">
        <v>0</v>
      </c>
      <c r="H47">
        <v>0</v>
      </c>
      <c r="I47">
        <v>1</v>
      </c>
      <c r="J47">
        <v>1</v>
      </c>
      <c r="K47">
        <v>0.1</v>
      </c>
      <c r="M47">
        <v>48</v>
      </c>
      <c r="N47">
        <f t="shared" si="2"/>
        <v>9</v>
      </c>
      <c r="O47">
        <f t="shared" si="1"/>
        <v>24</v>
      </c>
      <c r="Q47">
        <v>48</v>
      </c>
      <c r="R47" s="1">
        <f>Tabelle35[[#This Row],[Seite]]-0</f>
        <v>48</v>
      </c>
      <c r="S47">
        <v>9</v>
      </c>
      <c r="T47">
        <v>24</v>
      </c>
      <c r="U47" s="2" cm="1">
        <f t="array" ref="U47">SUMPRODUCT((Tabelle1[Seite]=Q47)*Tabelle1[Score_Gewichtet])</f>
        <v>11.350000000000001</v>
      </c>
      <c r="V47" s="2"/>
    </row>
    <row r="48" spans="1:25" x14ac:dyDescent="0.2">
      <c r="A48" t="s">
        <v>126</v>
      </c>
      <c r="B48">
        <v>5</v>
      </c>
      <c r="C48" t="s">
        <v>15</v>
      </c>
      <c r="D48" t="s">
        <v>6</v>
      </c>
      <c r="E48" t="s">
        <v>37</v>
      </c>
      <c r="F48">
        <v>0</v>
      </c>
      <c r="G48">
        <v>1</v>
      </c>
      <c r="H48">
        <v>0</v>
      </c>
      <c r="I48">
        <v>0</v>
      </c>
      <c r="J48">
        <v>1</v>
      </c>
      <c r="K48">
        <v>0.75</v>
      </c>
      <c r="M48">
        <v>49</v>
      </c>
      <c r="N48">
        <f t="shared" si="2"/>
        <v>7</v>
      </c>
      <c r="O48">
        <f t="shared" si="1"/>
        <v>47</v>
      </c>
      <c r="Q48">
        <v>49</v>
      </c>
      <c r="R48" s="1">
        <f>Tabelle35[[#This Row],[Seite]]-0</f>
        <v>49</v>
      </c>
      <c r="S48">
        <v>7</v>
      </c>
      <c r="T48">
        <v>47</v>
      </c>
      <c r="U48" s="2" cm="1">
        <f t="array" ref="U48">SUMPRODUCT((Tabelle1[Seite]=Q48)*Tabelle1[Score_Gewichtet])</f>
        <v>3.2000000000000006</v>
      </c>
      <c r="V48" s="2" t="s">
        <v>31</v>
      </c>
      <c r="W48">
        <v>2</v>
      </c>
      <c r="X48">
        <v>1</v>
      </c>
      <c r="Y48" t="s">
        <v>155</v>
      </c>
    </row>
    <row r="49" spans="1:22" x14ac:dyDescent="0.2">
      <c r="A49" t="s">
        <v>126</v>
      </c>
      <c r="B49">
        <v>5</v>
      </c>
      <c r="C49" t="s">
        <v>15</v>
      </c>
      <c r="D49" t="s">
        <v>6</v>
      </c>
      <c r="E49" t="s">
        <v>94</v>
      </c>
      <c r="F49">
        <v>0</v>
      </c>
      <c r="G49">
        <v>0</v>
      </c>
      <c r="H49">
        <v>1</v>
      </c>
      <c r="I49">
        <v>0</v>
      </c>
      <c r="J49">
        <v>1</v>
      </c>
      <c r="K49">
        <v>0.5</v>
      </c>
      <c r="M49">
        <v>50</v>
      </c>
      <c r="N49">
        <f t="shared" si="2"/>
        <v>4</v>
      </c>
      <c r="O49">
        <f t="shared" si="1"/>
        <v>89</v>
      </c>
      <c r="Q49">
        <v>50</v>
      </c>
      <c r="R49" s="1">
        <f>Tabelle35[[#This Row],[Seite]]-0</f>
        <v>50</v>
      </c>
      <c r="S49">
        <v>4</v>
      </c>
      <c r="T49">
        <v>89</v>
      </c>
      <c r="U49" s="2" cm="1">
        <f t="array" ref="U49">SUMPRODUCT((Tabelle1[Seite]=Q49)*Tabelle1[Score_Gewichtet])</f>
        <v>6.75</v>
      </c>
      <c r="V49" s="2"/>
    </row>
    <row r="50" spans="1:22" x14ac:dyDescent="0.2">
      <c r="A50" t="s">
        <v>126</v>
      </c>
      <c r="B50">
        <v>5</v>
      </c>
      <c r="C50" t="s">
        <v>15</v>
      </c>
      <c r="D50" t="s">
        <v>2</v>
      </c>
      <c r="E50" t="s">
        <v>48</v>
      </c>
      <c r="F50">
        <v>2</v>
      </c>
      <c r="G50">
        <v>0</v>
      </c>
      <c r="H50">
        <v>1</v>
      </c>
      <c r="I50">
        <v>0</v>
      </c>
      <c r="J50">
        <v>3</v>
      </c>
      <c r="K50">
        <v>2.5</v>
      </c>
      <c r="M50">
        <v>51</v>
      </c>
      <c r="N50">
        <f t="shared" si="2"/>
        <v>10</v>
      </c>
      <c r="O50">
        <f t="shared" si="1"/>
        <v>20</v>
      </c>
      <c r="Q50">
        <v>51</v>
      </c>
      <c r="R50" s="1">
        <f>Tabelle35[[#This Row],[Seite]]-0</f>
        <v>51</v>
      </c>
      <c r="S50">
        <v>10</v>
      </c>
      <c r="T50">
        <v>20</v>
      </c>
      <c r="U50" s="2" cm="1">
        <f t="array" ref="U50">SUMPRODUCT((Tabelle1[Seite]=Q50)*Tabelle1[Score_Gewichtet])</f>
        <v>9.8999999999999986</v>
      </c>
      <c r="V50" s="2"/>
    </row>
    <row r="51" spans="1:22" x14ac:dyDescent="0.2">
      <c r="A51" t="s">
        <v>126</v>
      </c>
      <c r="B51">
        <v>5</v>
      </c>
      <c r="C51" t="s">
        <v>18</v>
      </c>
      <c r="D51" t="s">
        <v>2</v>
      </c>
      <c r="E51" t="s">
        <v>20</v>
      </c>
      <c r="F51">
        <v>0</v>
      </c>
      <c r="G51">
        <v>1</v>
      </c>
      <c r="H51">
        <v>0</v>
      </c>
      <c r="I51">
        <v>0</v>
      </c>
      <c r="J51">
        <v>1</v>
      </c>
      <c r="K51">
        <v>0.75</v>
      </c>
      <c r="M51">
        <v>52</v>
      </c>
      <c r="N51">
        <f t="shared" si="2"/>
        <v>17</v>
      </c>
      <c r="O51">
        <f t="shared" si="1"/>
        <v>3</v>
      </c>
      <c r="Q51">
        <v>52</v>
      </c>
      <c r="R51" s="1">
        <f>Tabelle35[[#This Row],[Seite]]-0</f>
        <v>52</v>
      </c>
      <c r="S51">
        <v>17</v>
      </c>
      <c r="T51">
        <v>3</v>
      </c>
      <c r="U51" s="2" cm="1">
        <f t="array" ref="U51">SUMPRODUCT((Tabelle1[Seite]=Q51)*Tabelle1[Score_Gewichtet])</f>
        <v>12.45</v>
      </c>
      <c r="V51" s="2"/>
    </row>
    <row r="52" spans="1:22" x14ac:dyDescent="0.2">
      <c r="A52" t="s">
        <v>126</v>
      </c>
      <c r="B52">
        <v>5</v>
      </c>
      <c r="C52" t="s">
        <v>18</v>
      </c>
      <c r="D52" t="s">
        <v>2</v>
      </c>
      <c r="E52" t="s">
        <v>21</v>
      </c>
      <c r="F52">
        <v>0</v>
      </c>
      <c r="G52">
        <v>0</v>
      </c>
      <c r="H52">
        <v>0</v>
      </c>
      <c r="I52">
        <v>3</v>
      </c>
      <c r="J52">
        <v>3</v>
      </c>
      <c r="K52">
        <v>0.3</v>
      </c>
      <c r="M52">
        <v>53</v>
      </c>
      <c r="N52">
        <f t="shared" si="2"/>
        <v>9</v>
      </c>
      <c r="O52">
        <f t="shared" si="1"/>
        <v>24</v>
      </c>
      <c r="Q52">
        <v>53</v>
      </c>
      <c r="R52" s="1">
        <f>Tabelle35[[#This Row],[Seite]]-0</f>
        <v>53</v>
      </c>
      <c r="S52">
        <v>9</v>
      </c>
      <c r="T52">
        <v>24</v>
      </c>
      <c r="U52" s="2" cm="1">
        <f t="array" ref="U52">SUMPRODUCT((Tabelle1[Seite]=Q52)*Tabelle1[Score_Gewichtet])</f>
        <v>6.65</v>
      </c>
      <c r="V52" s="2"/>
    </row>
    <row r="53" spans="1:22" x14ac:dyDescent="0.2">
      <c r="A53" t="s">
        <v>126</v>
      </c>
      <c r="B53">
        <v>5</v>
      </c>
      <c r="C53" t="s">
        <v>23</v>
      </c>
      <c r="D53" t="s">
        <v>33</v>
      </c>
      <c r="E53" t="s">
        <v>34</v>
      </c>
      <c r="F53">
        <v>0</v>
      </c>
      <c r="G53">
        <v>2</v>
      </c>
      <c r="H53">
        <v>1</v>
      </c>
      <c r="I53">
        <v>0</v>
      </c>
      <c r="J53">
        <v>3</v>
      </c>
      <c r="K53">
        <v>2</v>
      </c>
      <c r="M53">
        <v>54</v>
      </c>
      <c r="N53">
        <f t="shared" si="2"/>
        <v>2</v>
      </c>
      <c r="O53">
        <f t="shared" si="1"/>
        <v>115</v>
      </c>
      <c r="Q53">
        <v>54</v>
      </c>
      <c r="R53" s="1">
        <f>Tabelle35[[#This Row],[Seite]]-0</f>
        <v>54</v>
      </c>
      <c r="S53">
        <v>2</v>
      </c>
      <c r="T53">
        <v>115</v>
      </c>
      <c r="U53" s="2" cm="1">
        <f t="array" ref="U53">SUMPRODUCT((Tabelle1[Seite]=Q53)*Tabelle1[Score_Gewichtet])</f>
        <v>1</v>
      </c>
      <c r="V53" s="2"/>
    </row>
    <row r="54" spans="1:22" x14ac:dyDescent="0.2">
      <c r="A54" t="s">
        <v>126</v>
      </c>
      <c r="B54">
        <v>5</v>
      </c>
      <c r="C54" t="s">
        <v>23</v>
      </c>
      <c r="D54" t="s">
        <v>2</v>
      </c>
      <c r="E54" t="s">
        <v>48</v>
      </c>
      <c r="F54">
        <v>2</v>
      </c>
      <c r="G54">
        <v>0</v>
      </c>
      <c r="H54">
        <v>1</v>
      </c>
      <c r="I54">
        <v>0</v>
      </c>
      <c r="J54">
        <v>3</v>
      </c>
      <c r="K54">
        <v>2.5</v>
      </c>
      <c r="M54">
        <v>55</v>
      </c>
      <c r="N54">
        <f t="shared" si="2"/>
        <v>5</v>
      </c>
      <c r="O54">
        <f t="shared" si="1"/>
        <v>74</v>
      </c>
      <c r="Q54">
        <v>55</v>
      </c>
      <c r="R54" s="1">
        <f>Tabelle35[[#This Row],[Seite]]-0</f>
        <v>55</v>
      </c>
      <c r="S54">
        <v>5</v>
      </c>
      <c r="T54">
        <v>74</v>
      </c>
      <c r="U54" s="2" cm="1">
        <f t="array" ref="U54">SUMPRODUCT((Tabelle1[Seite]=Q54)*Tabelle1[Score_Gewichtet])</f>
        <v>3.6</v>
      </c>
      <c r="V54" s="2"/>
    </row>
    <row r="55" spans="1:22" x14ac:dyDescent="0.2">
      <c r="A55" t="s">
        <v>126</v>
      </c>
      <c r="B55">
        <v>5</v>
      </c>
      <c r="C55" t="s">
        <v>27</v>
      </c>
      <c r="D55" t="s">
        <v>2</v>
      </c>
      <c r="E55" t="s">
        <v>5</v>
      </c>
      <c r="F55">
        <v>0</v>
      </c>
      <c r="G55">
        <v>2</v>
      </c>
      <c r="H55">
        <v>5</v>
      </c>
      <c r="I55">
        <v>4</v>
      </c>
      <c r="J55">
        <v>11</v>
      </c>
      <c r="K55">
        <v>4.4000000000000004</v>
      </c>
      <c r="M55">
        <v>56</v>
      </c>
      <c r="N55">
        <f t="shared" si="2"/>
        <v>7</v>
      </c>
      <c r="O55">
        <f t="shared" si="1"/>
        <v>47</v>
      </c>
      <c r="Q55">
        <v>56</v>
      </c>
      <c r="R55" s="1">
        <f>Tabelle35[[#This Row],[Seite]]-0</f>
        <v>56</v>
      </c>
      <c r="S55">
        <v>7</v>
      </c>
      <c r="T55">
        <v>47</v>
      </c>
      <c r="U55" s="2" cm="1">
        <f t="array" ref="U55">SUMPRODUCT((Tabelle1[Seite]=Q55)*Tabelle1[Score_Gewichtet])</f>
        <v>5.65</v>
      </c>
      <c r="V55" s="2"/>
    </row>
    <row r="56" spans="1:22" x14ac:dyDescent="0.2">
      <c r="A56" t="s">
        <v>126</v>
      </c>
      <c r="B56">
        <v>6</v>
      </c>
      <c r="C56" t="s">
        <v>4</v>
      </c>
      <c r="D56" t="s">
        <v>6</v>
      </c>
      <c r="E56" t="s">
        <v>45</v>
      </c>
      <c r="F56">
        <v>0</v>
      </c>
      <c r="G56">
        <v>3</v>
      </c>
      <c r="H56">
        <v>0</v>
      </c>
      <c r="I56">
        <v>0</v>
      </c>
      <c r="J56">
        <v>3</v>
      </c>
      <c r="K56">
        <v>2.25</v>
      </c>
      <c r="M56">
        <v>57</v>
      </c>
      <c r="N56">
        <f t="shared" si="2"/>
        <v>4</v>
      </c>
      <c r="O56">
        <f t="shared" si="1"/>
        <v>89</v>
      </c>
      <c r="Q56">
        <v>57</v>
      </c>
      <c r="R56" s="1">
        <f>Tabelle35[[#This Row],[Seite]]-0</f>
        <v>57</v>
      </c>
      <c r="S56">
        <v>4</v>
      </c>
      <c r="T56">
        <v>89</v>
      </c>
      <c r="U56" s="2" cm="1">
        <f t="array" ref="U56">SUMPRODUCT((Tabelle1[Seite]=Q56)*Tabelle1[Score_Gewichtet])</f>
        <v>5.75</v>
      </c>
      <c r="V56" s="2"/>
    </row>
    <row r="57" spans="1:22" x14ac:dyDescent="0.2">
      <c r="A57" t="s">
        <v>126</v>
      </c>
      <c r="B57">
        <v>6</v>
      </c>
      <c r="C57" t="s">
        <v>1</v>
      </c>
      <c r="D57" t="s">
        <v>33</v>
      </c>
      <c r="E57" t="s">
        <v>45</v>
      </c>
      <c r="F57">
        <v>0</v>
      </c>
      <c r="G57">
        <v>3</v>
      </c>
      <c r="H57">
        <v>0</v>
      </c>
      <c r="I57">
        <v>0</v>
      </c>
      <c r="J57">
        <v>3</v>
      </c>
      <c r="K57">
        <v>2.25</v>
      </c>
      <c r="M57">
        <v>58</v>
      </c>
      <c r="N57">
        <f t="shared" si="2"/>
        <v>6</v>
      </c>
      <c r="O57">
        <f t="shared" si="1"/>
        <v>58</v>
      </c>
      <c r="Q57">
        <v>58</v>
      </c>
      <c r="R57" s="1">
        <f>Tabelle35[[#This Row],[Seite]]-0</f>
        <v>58</v>
      </c>
      <c r="S57">
        <v>6</v>
      </c>
      <c r="T57">
        <v>58</v>
      </c>
      <c r="U57" s="2" cm="1">
        <f t="array" ref="U57">SUMPRODUCT((Tabelle1[Seite]=Q57)*Tabelle1[Score_Gewichtet])</f>
        <v>4.9000000000000004</v>
      </c>
      <c r="V57" s="2"/>
    </row>
    <row r="58" spans="1:22" x14ac:dyDescent="0.2">
      <c r="A58" t="s">
        <v>126</v>
      </c>
      <c r="B58">
        <v>6</v>
      </c>
      <c r="C58" t="s">
        <v>23</v>
      </c>
      <c r="D58" t="s">
        <v>33</v>
      </c>
      <c r="E58" t="s">
        <v>40</v>
      </c>
      <c r="F58">
        <v>0</v>
      </c>
      <c r="G58">
        <v>0</v>
      </c>
      <c r="H58">
        <v>1</v>
      </c>
      <c r="I58">
        <v>0</v>
      </c>
      <c r="J58">
        <v>1</v>
      </c>
      <c r="K58">
        <v>0.5</v>
      </c>
      <c r="M58">
        <v>59</v>
      </c>
      <c r="N58">
        <f t="shared" si="2"/>
        <v>7</v>
      </c>
      <c r="O58">
        <f t="shared" si="1"/>
        <v>47</v>
      </c>
      <c r="Q58">
        <v>59</v>
      </c>
      <c r="R58" s="1">
        <f>Tabelle35[[#This Row],[Seite]]-0</f>
        <v>59</v>
      </c>
      <c r="S58">
        <v>7</v>
      </c>
      <c r="T58">
        <v>47</v>
      </c>
      <c r="U58" s="2" cm="1">
        <f t="array" ref="U58">SUMPRODUCT((Tabelle1[Seite]=Q58)*Tabelle1[Score_Gewichtet])</f>
        <v>2.9</v>
      </c>
      <c r="V58" s="2"/>
    </row>
    <row r="59" spans="1:22" x14ac:dyDescent="0.2">
      <c r="A59" t="s">
        <v>126</v>
      </c>
      <c r="B59">
        <v>7</v>
      </c>
      <c r="C59" t="s">
        <v>4</v>
      </c>
      <c r="D59" t="s">
        <v>6</v>
      </c>
      <c r="E59" t="s">
        <v>45</v>
      </c>
      <c r="F59">
        <v>0</v>
      </c>
      <c r="G59">
        <v>1</v>
      </c>
      <c r="H59">
        <v>0</v>
      </c>
      <c r="I59">
        <v>0</v>
      </c>
      <c r="J59">
        <v>1</v>
      </c>
      <c r="K59">
        <v>0.75</v>
      </c>
      <c r="M59">
        <v>60</v>
      </c>
      <c r="N59">
        <f t="shared" si="2"/>
        <v>8</v>
      </c>
      <c r="O59">
        <f t="shared" si="1"/>
        <v>35</v>
      </c>
      <c r="Q59">
        <v>60</v>
      </c>
      <c r="R59" s="1">
        <f>Tabelle35[[#This Row],[Seite]]-0</f>
        <v>60</v>
      </c>
      <c r="S59">
        <v>8</v>
      </c>
      <c r="T59">
        <v>35</v>
      </c>
      <c r="U59" s="2" cm="1">
        <f t="array" ref="U59">SUMPRODUCT((Tabelle1[Seite]=Q59)*Tabelle1[Score_Gewichtet])</f>
        <v>10.55</v>
      </c>
      <c r="V59" s="2"/>
    </row>
    <row r="60" spans="1:22" x14ac:dyDescent="0.2">
      <c r="A60" t="s">
        <v>126</v>
      </c>
      <c r="B60">
        <v>7</v>
      </c>
      <c r="C60" t="s">
        <v>4</v>
      </c>
      <c r="D60" t="s">
        <v>2</v>
      </c>
      <c r="E60" t="s">
        <v>32</v>
      </c>
      <c r="F60">
        <v>0</v>
      </c>
      <c r="G60">
        <v>1</v>
      </c>
      <c r="H60">
        <v>0</v>
      </c>
      <c r="I60">
        <v>0</v>
      </c>
      <c r="J60">
        <v>1</v>
      </c>
      <c r="K60">
        <v>0.75</v>
      </c>
      <c r="M60">
        <v>61</v>
      </c>
      <c r="N60">
        <f t="shared" si="2"/>
        <v>5</v>
      </c>
      <c r="O60">
        <f t="shared" si="1"/>
        <v>74</v>
      </c>
      <c r="Q60">
        <v>61</v>
      </c>
      <c r="R60" s="1">
        <f>Tabelle35[[#This Row],[Seite]]-0</f>
        <v>61</v>
      </c>
      <c r="S60">
        <v>5</v>
      </c>
      <c r="T60">
        <v>74</v>
      </c>
      <c r="U60" s="2" cm="1">
        <f t="array" ref="U60">SUMPRODUCT((Tabelle1[Seite]=Q60)*Tabelle1[Score_Gewichtet])</f>
        <v>2.85</v>
      </c>
      <c r="V60" s="2"/>
    </row>
    <row r="61" spans="1:22" x14ac:dyDescent="0.2">
      <c r="A61" t="s">
        <v>126</v>
      </c>
      <c r="B61">
        <v>7</v>
      </c>
      <c r="C61" t="s">
        <v>1</v>
      </c>
      <c r="D61" t="s">
        <v>33</v>
      </c>
      <c r="E61" t="s">
        <v>45</v>
      </c>
      <c r="F61">
        <v>0</v>
      </c>
      <c r="G61">
        <v>1</v>
      </c>
      <c r="H61">
        <v>0</v>
      </c>
      <c r="I61">
        <v>0</v>
      </c>
      <c r="J61">
        <v>1</v>
      </c>
      <c r="K61">
        <v>0.75</v>
      </c>
      <c r="M61">
        <v>62</v>
      </c>
      <c r="N61">
        <f t="shared" si="2"/>
        <v>12</v>
      </c>
      <c r="O61">
        <f t="shared" si="1"/>
        <v>10</v>
      </c>
      <c r="Q61">
        <v>62</v>
      </c>
      <c r="R61" s="1">
        <f>Tabelle35[[#This Row],[Seite]]-0</f>
        <v>62</v>
      </c>
      <c r="S61">
        <v>12</v>
      </c>
      <c r="T61">
        <v>10</v>
      </c>
      <c r="U61" s="2" cm="1">
        <f t="array" ref="U61">SUMPRODUCT((Tabelle1[Seite]=Q61)*Tabelle1[Score_Gewichtet])</f>
        <v>9.1000000000000014</v>
      </c>
      <c r="V61" s="2"/>
    </row>
    <row r="62" spans="1:22" x14ac:dyDescent="0.2">
      <c r="A62" t="s">
        <v>126</v>
      </c>
      <c r="B62">
        <v>7</v>
      </c>
      <c r="C62" t="s">
        <v>23</v>
      </c>
      <c r="D62" t="s">
        <v>33</v>
      </c>
      <c r="E62" t="s">
        <v>34</v>
      </c>
      <c r="F62">
        <v>0</v>
      </c>
      <c r="G62">
        <v>1</v>
      </c>
      <c r="H62">
        <v>0</v>
      </c>
      <c r="I62">
        <v>0</v>
      </c>
      <c r="J62">
        <v>1</v>
      </c>
      <c r="K62">
        <v>0.75</v>
      </c>
      <c r="M62">
        <v>63</v>
      </c>
      <c r="N62">
        <f t="shared" si="2"/>
        <v>7</v>
      </c>
      <c r="O62">
        <f t="shared" si="1"/>
        <v>47</v>
      </c>
      <c r="Q62">
        <v>63</v>
      </c>
      <c r="R62" s="1">
        <f>Tabelle35[[#This Row],[Seite]]-0</f>
        <v>63</v>
      </c>
      <c r="S62">
        <v>7</v>
      </c>
      <c r="T62">
        <v>47</v>
      </c>
      <c r="U62" s="2" cm="1">
        <f t="array" ref="U62">SUMPRODUCT((Tabelle1[Seite]=Q62)*Tabelle1[Score_Gewichtet])</f>
        <v>3.8000000000000003</v>
      </c>
      <c r="V62" s="2"/>
    </row>
    <row r="63" spans="1:22" x14ac:dyDescent="0.2">
      <c r="A63" t="s">
        <v>126</v>
      </c>
      <c r="B63">
        <v>7</v>
      </c>
      <c r="C63" t="s">
        <v>23</v>
      </c>
      <c r="D63" t="s">
        <v>33</v>
      </c>
      <c r="E63" t="s">
        <v>40</v>
      </c>
      <c r="F63">
        <v>0</v>
      </c>
      <c r="G63">
        <v>0</v>
      </c>
      <c r="H63">
        <v>1</v>
      </c>
      <c r="I63">
        <v>0</v>
      </c>
      <c r="J63">
        <v>1</v>
      </c>
      <c r="K63">
        <v>0.5</v>
      </c>
      <c r="M63">
        <v>64</v>
      </c>
      <c r="N63">
        <f t="shared" si="2"/>
        <v>9</v>
      </c>
      <c r="O63">
        <f t="shared" si="1"/>
        <v>24</v>
      </c>
      <c r="Q63">
        <v>64</v>
      </c>
      <c r="R63" s="1">
        <f>Tabelle35[[#This Row],[Seite]]-0</f>
        <v>64</v>
      </c>
      <c r="S63">
        <v>9</v>
      </c>
      <c r="T63">
        <v>24</v>
      </c>
      <c r="U63" s="2" cm="1">
        <f t="array" ref="U63">SUMPRODUCT((Tabelle1[Seite]=Q63)*Tabelle1[Score_Gewichtet])</f>
        <v>10.600000000000001</v>
      </c>
      <c r="V63" s="2"/>
    </row>
    <row r="64" spans="1:22" x14ac:dyDescent="0.2">
      <c r="A64" t="s">
        <v>126</v>
      </c>
      <c r="B64">
        <v>8</v>
      </c>
      <c r="C64" t="s">
        <v>4</v>
      </c>
      <c r="D64" t="s">
        <v>6</v>
      </c>
      <c r="E64" t="s">
        <v>45</v>
      </c>
      <c r="F64">
        <v>0</v>
      </c>
      <c r="G64">
        <v>0</v>
      </c>
      <c r="H64">
        <v>1</v>
      </c>
      <c r="I64">
        <v>0</v>
      </c>
      <c r="J64">
        <v>1</v>
      </c>
      <c r="K64">
        <v>0.6</v>
      </c>
      <c r="M64">
        <v>65</v>
      </c>
      <c r="N64">
        <f t="shared" si="2"/>
        <v>2</v>
      </c>
      <c r="O64">
        <f t="shared" si="1"/>
        <v>115</v>
      </c>
      <c r="Q64">
        <v>65</v>
      </c>
      <c r="R64" s="1">
        <f>Tabelle35[[#This Row],[Seite]]-0</f>
        <v>65</v>
      </c>
      <c r="S64">
        <v>2</v>
      </c>
      <c r="T64">
        <v>115</v>
      </c>
      <c r="U64" s="2" cm="1">
        <f t="array" ref="U64">SUMPRODUCT((Tabelle1[Seite]=Q64)*Tabelle1[Score_Gewichtet])</f>
        <v>1.5</v>
      </c>
      <c r="V64" s="2"/>
    </row>
    <row r="65" spans="1:22" x14ac:dyDescent="0.2">
      <c r="A65" t="s">
        <v>126</v>
      </c>
      <c r="B65">
        <v>8</v>
      </c>
      <c r="C65" t="s">
        <v>11</v>
      </c>
      <c r="D65" t="s">
        <v>2</v>
      </c>
      <c r="E65" t="s">
        <v>66</v>
      </c>
      <c r="F65">
        <v>0</v>
      </c>
      <c r="G65">
        <v>0</v>
      </c>
      <c r="H65">
        <v>0</v>
      </c>
      <c r="I65">
        <v>1</v>
      </c>
      <c r="J65">
        <v>1</v>
      </c>
      <c r="K65">
        <v>0.1</v>
      </c>
      <c r="M65">
        <v>66</v>
      </c>
      <c r="N65">
        <f t="shared" si="2"/>
        <v>2</v>
      </c>
      <c r="O65">
        <f t="shared" si="1"/>
        <v>115</v>
      </c>
      <c r="Q65">
        <v>66</v>
      </c>
      <c r="R65" s="1">
        <f>Tabelle35[[#This Row],[Seite]]-0</f>
        <v>66</v>
      </c>
      <c r="S65">
        <v>2</v>
      </c>
      <c r="T65">
        <v>115</v>
      </c>
      <c r="U65" s="2" cm="1">
        <f t="array" ref="U65">SUMPRODUCT((Tabelle1[Seite]=Q65)*Tabelle1[Score_Gewichtet])</f>
        <v>1</v>
      </c>
      <c r="V65" s="2"/>
    </row>
    <row r="66" spans="1:22" x14ac:dyDescent="0.2">
      <c r="A66" t="s">
        <v>126</v>
      </c>
      <c r="B66">
        <v>8</v>
      </c>
      <c r="C66" t="s">
        <v>1</v>
      </c>
      <c r="D66" t="s">
        <v>33</v>
      </c>
      <c r="E66" t="s">
        <v>45</v>
      </c>
      <c r="F66">
        <v>0</v>
      </c>
      <c r="G66">
        <v>0</v>
      </c>
      <c r="H66">
        <v>1</v>
      </c>
      <c r="I66">
        <v>0</v>
      </c>
      <c r="J66">
        <v>1</v>
      </c>
      <c r="K66">
        <v>0.6</v>
      </c>
      <c r="M66">
        <v>67</v>
      </c>
      <c r="N66">
        <f t="shared" ref="N66:N97" si="3">COUNTIF(B$2:B$867, M66)</f>
        <v>3</v>
      </c>
      <c r="O66">
        <f t="shared" si="1"/>
        <v>105</v>
      </c>
      <c r="Q66">
        <v>67</v>
      </c>
      <c r="R66" s="1">
        <f>Tabelle35[[#This Row],[Seite]]-0</f>
        <v>67</v>
      </c>
      <c r="S66">
        <v>3</v>
      </c>
      <c r="T66">
        <v>105</v>
      </c>
      <c r="U66" s="2" cm="1">
        <f t="array" ref="U66">SUMPRODUCT((Tabelle1[Seite]=Q66)*Tabelle1[Score_Gewichtet])</f>
        <v>4.45</v>
      </c>
      <c r="V66" s="2"/>
    </row>
    <row r="67" spans="1:22" x14ac:dyDescent="0.2">
      <c r="A67" t="s">
        <v>126</v>
      </c>
      <c r="B67">
        <v>8</v>
      </c>
      <c r="C67" t="s">
        <v>1</v>
      </c>
      <c r="D67" t="s">
        <v>2</v>
      </c>
      <c r="E67" t="s">
        <v>98</v>
      </c>
      <c r="F67">
        <v>1</v>
      </c>
      <c r="G67">
        <v>0</v>
      </c>
      <c r="H67">
        <v>0</v>
      </c>
      <c r="I67">
        <v>0</v>
      </c>
      <c r="J67">
        <v>1</v>
      </c>
      <c r="K67">
        <v>1</v>
      </c>
      <c r="M67">
        <v>68</v>
      </c>
      <c r="N67">
        <f t="shared" si="3"/>
        <v>8</v>
      </c>
      <c r="O67">
        <f t="shared" ref="O67:O130" si="4">RANK(N67, $N$2:$N$132)</f>
        <v>35</v>
      </c>
      <c r="Q67">
        <v>68</v>
      </c>
      <c r="R67" s="1">
        <f>Tabelle35[[#This Row],[Seite]]-0</f>
        <v>68</v>
      </c>
      <c r="S67">
        <v>8</v>
      </c>
      <c r="T67">
        <v>35</v>
      </c>
      <c r="U67" s="2" cm="1">
        <f t="array" ref="U67">SUMPRODUCT((Tabelle1[Seite]=Q67)*Tabelle1[Score_Gewichtet])</f>
        <v>5.95</v>
      </c>
      <c r="V67" s="2"/>
    </row>
    <row r="68" spans="1:22" x14ac:dyDescent="0.2">
      <c r="A68" t="s">
        <v>126</v>
      </c>
      <c r="B68">
        <v>8</v>
      </c>
      <c r="C68" t="s">
        <v>15</v>
      </c>
      <c r="D68" t="s">
        <v>2</v>
      </c>
      <c r="E68" t="s">
        <v>66</v>
      </c>
      <c r="F68">
        <v>0</v>
      </c>
      <c r="G68">
        <v>0</v>
      </c>
      <c r="H68">
        <v>0</v>
      </c>
      <c r="I68">
        <v>1</v>
      </c>
      <c r="J68">
        <v>1</v>
      </c>
      <c r="K68">
        <v>0.1</v>
      </c>
      <c r="M68">
        <v>69</v>
      </c>
      <c r="N68">
        <f t="shared" si="3"/>
        <v>8</v>
      </c>
      <c r="O68">
        <f t="shared" si="4"/>
        <v>35</v>
      </c>
      <c r="Q68">
        <v>69</v>
      </c>
      <c r="R68" s="1">
        <f>Tabelle35[[#This Row],[Seite]]-0</f>
        <v>69</v>
      </c>
      <c r="S68">
        <v>8</v>
      </c>
      <c r="T68">
        <v>35</v>
      </c>
      <c r="U68" s="2" cm="1">
        <f t="array" ref="U68">SUMPRODUCT((Tabelle1[Seite]=Q68)*Tabelle1[Score_Gewichtet])</f>
        <v>4.0999999999999996</v>
      </c>
      <c r="V68" s="2"/>
    </row>
    <row r="69" spans="1:22" x14ac:dyDescent="0.2">
      <c r="A69" t="s">
        <v>126</v>
      </c>
      <c r="B69">
        <v>8</v>
      </c>
      <c r="C69" t="s">
        <v>18</v>
      </c>
      <c r="D69" t="s">
        <v>6</v>
      </c>
      <c r="E69" t="s">
        <v>22</v>
      </c>
      <c r="F69">
        <v>1</v>
      </c>
      <c r="G69">
        <v>0</v>
      </c>
      <c r="H69">
        <v>0</v>
      </c>
      <c r="I69">
        <v>0</v>
      </c>
      <c r="J69">
        <v>1</v>
      </c>
      <c r="K69">
        <v>1</v>
      </c>
      <c r="M69">
        <v>70</v>
      </c>
      <c r="N69">
        <f t="shared" si="3"/>
        <v>10</v>
      </c>
      <c r="O69">
        <f t="shared" si="4"/>
        <v>20</v>
      </c>
      <c r="Q69">
        <v>70</v>
      </c>
      <c r="R69" s="1">
        <f>Tabelle35[[#This Row],[Seite]]-0</f>
        <v>70</v>
      </c>
      <c r="S69">
        <v>10</v>
      </c>
      <c r="T69">
        <v>20</v>
      </c>
      <c r="U69" s="2" cm="1">
        <f t="array" ref="U69">SUMPRODUCT((Tabelle1[Seite]=Q69)*Tabelle1[Score_Gewichtet])</f>
        <v>4.5</v>
      </c>
      <c r="V69" s="2"/>
    </row>
    <row r="70" spans="1:22" x14ac:dyDescent="0.2">
      <c r="A70" t="s">
        <v>126</v>
      </c>
      <c r="B70">
        <v>8</v>
      </c>
      <c r="C70" t="s">
        <v>27</v>
      </c>
      <c r="D70" t="s">
        <v>6</v>
      </c>
      <c r="E70" t="s">
        <v>55</v>
      </c>
      <c r="F70">
        <v>0</v>
      </c>
      <c r="G70">
        <v>0</v>
      </c>
      <c r="H70">
        <v>1</v>
      </c>
      <c r="I70">
        <v>0</v>
      </c>
      <c r="J70">
        <v>1</v>
      </c>
      <c r="K70">
        <v>0.5</v>
      </c>
      <c r="M70">
        <v>71</v>
      </c>
      <c r="N70">
        <f t="shared" si="3"/>
        <v>2</v>
      </c>
      <c r="O70">
        <f t="shared" si="4"/>
        <v>115</v>
      </c>
      <c r="Q70">
        <v>71</v>
      </c>
      <c r="R70" s="1">
        <f>Tabelle35[[#This Row],[Seite]]-0</f>
        <v>71</v>
      </c>
      <c r="S70">
        <v>2</v>
      </c>
      <c r="T70">
        <v>115</v>
      </c>
      <c r="U70" s="2" cm="1">
        <f t="array" ref="U70">SUMPRODUCT((Tabelle1[Seite]=Q70)*Tabelle1[Score_Gewichtet])</f>
        <v>1.25</v>
      </c>
      <c r="V70" s="2"/>
    </row>
    <row r="71" spans="1:22" x14ac:dyDescent="0.2">
      <c r="A71" t="s">
        <v>126</v>
      </c>
      <c r="B71">
        <v>9</v>
      </c>
      <c r="C71" t="s">
        <v>4</v>
      </c>
      <c r="D71" t="s">
        <v>6</v>
      </c>
      <c r="E71" t="s">
        <v>45</v>
      </c>
      <c r="F71">
        <v>0</v>
      </c>
      <c r="G71">
        <v>1</v>
      </c>
      <c r="H71">
        <v>0</v>
      </c>
      <c r="I71">
        <v>1</v>
      </c>
      <c r="J71">
        <v>2</v>
      </c>
      <c r="K71">
        <v>0.85</v>
      </c>
      <c r="M71">
        <v>72</v>
      </c>
      <c r="N71">
        <f t="shared" si="3"/>
        <v>5</v>
      </c>
      <c r="O71">
        <f t="shared" si="4"/>
        <v>74</v>
      </c>
      <c r="Q71">
        <v>72</v>
      </c>
      <c r="R71" s="1">
        <f>Tabelle35[[#This Row],[Seite]]-0</f>
        <v>72</v>
      </c>
      <c r="S71">
        <v>5</v>
      </c>
      <c r="T71">
        <v>74</v>
      </c>
      <c r="U71" s="2" cm="1">
        <f t="array" ref="U71">SUMPRODUCT((Tabelle1[Seite]=Q71)*Tabelle1[Score_Gewichtet])</f>
        <v>4.4000000000000004</v>
      </c>
      <c r="V71" s="2"/>
    </row>
    <row r="72" spans="1:22" x14ac:dyDescent="0.2">
      <c r="A72" t="s">
        <v>126</v>
      </c>
      <c r="B72">
        <v>9</v>
      </c>
      <c r="C72" t="s">
        <v>4</v>
      </c>
      <c r="D72" t="s">
        <v>2</v>
      </c>
      <c r="E72" t="s">
        <v>7</v>
      </c>
      <c r="F72">
        <v>0</v>
      </c>
      <c r="G72">
        <v>1</v>
      </c>
      <c r="H72">
        <v>0</v>
      </c>
      <c r="I72">
        <v>0</v>
      </c>
      <c r="J72">
        <v>1</v>
      </c>
      <c r="K72">
        <v>0.75</v>
      </c>
      <c r="M72">
        <v>73</v>
      </c>
      <c r="N72">
        <f t="shared" si="3"/>
        <v>6</v>
      </c>
      <c r="O72">
        <f t="shared" si="4"/>
        <v>58</v>
      </c>
      <c r="Q72">
        <v>73</v>
      </c>
      <c r="R72" s="1">
        <f>Tabelle35[[#This Row],[Seite]]-0</f>
        <v>73</v>
      </c>
      <c r="S72">
        <v>6</v>
      </c>
      <c r="T72">
        <v>58</v>
      </c>
      <c r="U72" s="2" cm="1">
        <f t="array" ref="U72">SUMPRODUCT((Tabelle1[Seite]=Q72)*Tabelle1[Score_Gewichtet])</f>
        <v>6</v>
      </c>
      <c r="V72" s="2"/>
    </row>
    <row r="73" spans="1:22" x14ac:dyDescent="0.2">
      <c r="A73" t="s">
        <v>126</v>
      </c>
      <c r="B73">
        <v>9</v>
      </c>
      <c r="C73" t="s">
        <v>4</v>
      </c>
      <c r="D73" t="s">
        <v>2</v>
      </c>
      <c r="E73" t="s">
        <v>8</v>
      </c>
      <c r="F73">
        <v>0</v>
      </c>
      <c r="G73">
        <v>0</v>
      </c>
      <c r="H73">
        <v>0</v>
      </c>
      <c r="I73">
        <v>2</v>
      </c>
      <c r="J73">
        <v>2</v>
      </c>
      <c r="K73">
        <v>0.2</v>
      </c>
      <c r="M73">
        <v>75</v>
      </c>
      <c r="N73">
        <f t="shared" si="3"/>
        <v>9</v>
      </c>
      <c r="O73">
        <f t="shared" si="4"/>
        <v>24</v>
      </c>
      <c r="Q73">
        <v>75</v>
      </c>
      <c r="R73" s="1">
        <f>Tabelle35[[#This Row],[Seite]]-0</f>
        <v>75</v>
      </c>
      <c r="S73">
        <v>9</v>
      </c>
      <c r="T73">
        <v>24</v>
      </c>
      <c r="U73" s="2" cm="1">
        <f t="array" ref="U73">SUMPRODUCT((Tabelle1[Seite]=Q73)*Tabelle1[Score_Gewichtet])</f>
        <v>10.7</v>
      </c>
      <c r="V73" s="2"/>
    </row>
    <row r="74" spans="1:22" x14ac:dyDescent="0.2">
      <c r="A74" t="s">
        <v>126</v>
      </c>
      <c r="B74">
        <v>9</v>
      </c>
      <c r="C74" t="s">
        <v>4</v>
      </c>
      <c r="D74" t="s">
        <v>6</v>
      </c>
      <c r="E74" t="s">
        <v>10</v>
      </c>
      <c r="F74">
        <v>0</v>
      </c>
      <c r="G74">
        <v>0</v>
      </c>
      <c r="H74">
        <v>1</v>
      </c>
      <c r="I74">
        <v>0</v>
      </c>
      <c r="J74">
        <v>1</v>
      </c>
      <c r="K74">
        <v>0.5</v>
      </c>
      <c r="M74">
        <v>76</v>
      </c>
      <c r="N74">
        <f t="shared" si="3"/>
        <v>5</v>
      </c>
      <c r="O74">
        <f t="shared" si="4"/>
        <v>74</v>
      </c>
      <c r="Q74">
        <v>76</v>
      </c>
      <c r="R74" s="1">
        <f>Tabelle35[[#This Row],[Seite]]-0</f>
        <v>76</v>
      </c>
      <c r="S74">
        <v>5</v>
      </c>
      <c r="T74">
        <v>74</v>
      </c>
      <c r="U74" s="2" cm="1">
        <f t="array" ref="U74">SUMPRODUCT((Tabelle1[Seite]=Q74)*Tabelle1[Score_Gewichtet])</f>
        <v>2.6</v>
      </c>
      <c r="V74" s="2"/>
    </row>
    <row r="75" spans="1:22" x14ac:dyDescent="0.2">
      <c r="A75" t="s">
        <v>126</v>
      </c>
      <c r="B75">
        <v>9</v>
      </c>
      <c r="C75" t="s">
        <v>4</v>
      </c>
      <c r="D75" t="s">
        <v>2</v>
      </c>
      <c r="E75" t="s">
        <v>53</v>
      </c>
      <c r="F75">
        <v>0</v>
      </c>
      <c r="G75">
        <v>0</v>
      </c>
      <c r="H75">
        <v>0</v>
      </c>
      <c r="I75">
        <v>1</v>
      </c>
      <c r="J75">
        <v>1</v>
      </c>
      <c r="K75">
        <v>0.1</v>
      </c>
      <c r="M75">
        <v>77</v>
      </c>
      <c r="N75">
        <f t="shared" si="3"/>
        <v>6</v>
      </c>
      <c r="O75">
        <f t="shared" si="4"/>
        <v>58</v>
      </c>
      <c r="Q75">
        <v>77</v>
      </c>
      <c r="R75" s="1">
        <f>Tabelle35[[#This Row],[Seite]]-0</f>
        <v>77</v>
      </c>
      <c r="S75">
        <v>6</v>
      </c>
      <c r="T75">
        <v>58</v>
      </c>
      <c r="U75" s="2" cm="1">
        <f t="array" ref="U75">SUMPRODUCT((Tabelle1[Seite]=Q75)*Tabelle1[Score_Gewichtet])</f>
        <v>3.45</v>
      </c>
      <c r="V75" s="2"/>
    </row>
    <row r="76" spans="1:22" x14ac:dyDescent="0.2">
      <c r="A76" t="s">
        <v>126</v>
      </c>
      <c r="B76">
        <v>9</v>
      </c>
      <c r="C76" t="s">
        <v>1</v>
      </c>
      <c r="D76" t="s">
        <v>33</v>
      </c>
      <c r="E76" t="s">
        <v>45</v>
      </c>
      <c r="F76">
        <v>0</v>
      </c>
      <c r="G76">
        <v>1</v>
      </c>
      <c r="H76">
        <v>0</v>
      </c>
      <c r="I76">
        <v>1</v>
      </c>
      <c r="J76">
        <v>2</v>
      </c>
      <c r="K76">
        <v>0.85</v>
      </c>
      <c r="M76">
        <v>79</v>
      </c>
      <c r="N76">
        <f t="shared" si="3"/>
        <v>6</v>
      </c>
      <c r="O76">
        <f t="shared" si="4"/>
        <v>58</v>
      </c>
      <c r="Q76">
        <v>79</v>
      </c>
      <c r="R76" s="1">
        <f>Tabelle35[[#This Row],[Seite]]-0</f>
        <v>79</v>
      </c>
      <c r="S76">
        <v>6</v>
      </c>
      <c r="T76">
        <v>58</v>
      </c>
      <c r="U76" s="2" cm="1">
        <f t="array" ref="U76">SUMPRODUCT((Tabelle1[Seite]=Q76)*Tabelle1[Score_Gewichtet])</f>
        <v>2.95</v>
      </c>
      <c r="V76" s="2"/>
    </row>
    <row r="77" spans="1:22" x14ac:dyDescent="0.2">
      <c r="A77" t="s">
        <v>126</v>
      </c>
      <c r="B77">
        <v>9</v>
      </c>
      <c r="C77" t="s">
        <v>15</v>
      </c>
      <c r="D77" t="s">
        <v>2</v>
      </c>
      <c r="E77" t="s">
        <v>16</v>
      </c>
      <c r="F77">
        <v>0</v>
      </c>
      <c r="G77">
        <v>0</v>
      </c>
      <c r="H77">
        <v>0</v>
      </c>
      <c r="I77">
        <v>2</v>
      </c>
      <c r="J77">
        <v>2</v>
      </c>
      <c r="K77">
        <v>0.2</v>
      </c>
      <c r="M77">
        <v>80</v>
      </c>
      <c r="N77">
        <f t="shared" si="3"/>
        <v>2</v>
      </c>
      <c r="O77">
        <f t="shared" si="4"/>
        <v>115</v>
      </c>
      <c r="Q77">
        <v>80</v>
      </c>
      <c r="R77" s="1">
        <f>Tabelle35[[#This Row],[Seite]]-0</f>
        <v>80</v>
      </c>
      <c r="S77">
        <v>2</v>
      </c>
      <c r="T77">
        <v>115</v>
      </c>
      <c r="U77" s="2" cm="1">
        <f t="array" ref="U77">SUMPRODUCT((Tabelle1[Seite]=Q77)*Tabelle1[Score_Gewichtet])</f>
        <v>2.75</v>
      </c>
      <c r="V77" s="2"/>
    </row>
    <row r="78" spans="1:22" x14ac:dyDescent="0.2">
      <c r="A78" t="s">
        <v>126</v>
      </c>
      <c r="B78">
        <v>9</v>
      </c>
      <c r="C78" t="s">
        <v>23</v>
      </c>
      <c r="D78" t="s">
        <v>33</v>
      </c>
      <c r="E78" t="s">
        <v>40</v>
      </c>
      <c r="F78">
        <v>0</v>
      </c>
      <c r="G78">
        <v>0</v>
      </c>
      <c r="H78">
        <v>1</v>
      </c>
      <c r="I78">
        <v>0</v>
      </c>
      <c r="J78">
        <v>1</v>
      </c>
      <c r="K78">
        <v>0.5</v>
      </c>
      <c r="M78">
        <v>81</v>
      </c>
      <c r="N78">
        <f t="shared" si="3"/>
        <v>4</v>
      </c>
      <c r="O78">
        <f t="shared" si="4"/>
        <v>89</v>
      </c>
      <c r="Q78">
        <v>81</v>
      </c>
      <c r="R78" s="1">
        <f>Tabelle35[[#This Row],[Seite]]-0</f>
        <v>81</v>
      </c>
      <c r="S78">
        <v>4</v>
      </c>
      <c r="T78">
        <v>89</v>
      </c>
      <c r="U78" s="2" cm="1">
        <f t="array" ref="U78">SUMPRODUCT((Tabelle1[Seite]=Q78)*Tabelle1[Score_Gewichtet])</f>
        <v>2</v>
      </c>
      <c r="V78" s="2"/>
    </row>
    <row r="79" spans="1:22" x14ac:dyDescent="0.2">
      <c r="A79" t="s">
        <v>126</v>
      </c>
      <c r="B79">
        <v>9</v>
      </c>
      <c r="C79" t="s">
        <v>23</v>
      </c>
      <c r="D79" t="s">
        <v>2</v>
      </c>
      <c r="E79" t="s">
        <v>10</v>
      </c>
      <c r="F79">
        <v>0</v>
      </c>
      <c r="G79">
        <v>0</v>
      </c>
      <c r="H79">
        <v>1</v>
      </c>
      <c r="I79">
        <v>0</v>
      </c>
      <c r="J79">
        <v>1</v>
      </c>
      <c r="K79">
        <v>0.5</v>
      </c>
      <c r="M79">
        <v>82</v>
      </c>
      <c r="N79">
        <f t="shared" si="3"/>
        <v>8</v>
      </c>
      <c r="O79">
        <f t="shared" si="4"/>
        <v>35</v>
      </c>
      <c r="Q79">
        <v>82</v>
      </c>
      <c r="R79" s="1">
        <f>Tabelle35[[#This Row],[Seite]]-0</f>
        <v>82</v>
      </c>
      <c r="S79">
        <v>8</v>
      </c>
      <c r="T79">
        <v>35</v>
      </c>
      <c r="U79" s="2" cm="1">
        <f t="array" ref="U79">SUMPRODUCT((Tabelle1[Seite]=Q79)*Tabelle1[Score_Gewichtet])</f>
        <v>4.25</v>
      </c>
      <c r="V79" s="2"/>
    </row>
    <row r="80" spans="1:22" x14ac:dyDescent="0.2">
      <c r="A80" t="s">
        <v>126</v>
      </c>
      <c r="B80">
        <v>9</v>
      </c>
      <c r="C80" t="s">
        <v>23</v>
      </c>
      <c r="D80" t="s">
        <v>6</v>
      </c>
      <c r="E80" t="s">
        <v>25</v>
      </c>
      <c r="F80">
        <v>0</v>
      </c>
      <c r="G80">
        <v>0</v>
      </c>
      <c r="H80">
        <v>1</v>
      </c>
      <c r="I80">
        <v>0</v>
      </c>
      <c r="J80">
        <v>1</v>
      </c>
      <c r="K80">
        <v>0.6</v>
      </c>
      <c r="M80">
        <v>83</v>
      </c>
      <c r="N80">
        <f t="shared" si="3"/>
        <v>6</v>
      </c>
      <c r="O80">
        <f t="shared" si="4"/>
        <v>58</v>
      </c>
      <c r="Q80">
        <v>83</v>
      </c>
      <c r="R80" s="1">
        <f>Tabelle35[[#This Row],[Seite]]-0</f>
        <v>83</v>
      </c>
      <c r="S80">
        <v>6</v>
      </c>
      <c r="T80">
        <v>58</v>
      </c>
      <c r="U80" s="2" cm="1">
        <f t="array" ref="U80">SUMPRODUCT((Tabelle1[Seite]=Q80)*Tabelle1[Score_Gewichtet])</f>
        <v>4</v>
      </c>
      <c r="V80" s="2"/>
    </row>
    <row r="81" spans="1:25" x14ac:dyDescent="0.2">
      <c r="A81" t="s">
        <v>126</v>
      </c>
      <c r="B81">
        <v>9</v>
      </c>
      <c r="C81" t="s">
        <v>23</v>
      </c>
      <c r="D81" t="s">
        <v>2</v>
      </c>
      <c r="E81" t="s">
        <v>35</v>
      </c>
      <c r="F81">
        <v>0</v>
      </c>
      <c r="G81">
        <v>0</v>
      </c>
      <c r="H81">
        <v>0</v>
      </c>
      <c r="I81">
        <v>1</v>
      </c>
      <c r="J81">
        <v>1</v>
      </c>
      <c r="K81">
        <v>0.1</v>
      </c>
      <c r="M81">
        <v>84</v>
      </c>
      <c r="N81">
        <f t="shared" si="3"/>
        <v>1</v>
      </c>
      <c r="O81">
        <f t="shared" si="4"/>
        <v>128</v>
      </c>
      <c r="Q81">
        <v>84</v>
      </c>
      <c r="R81" s="1">
        <f>Tabelle35[[#This Row],[Seite]]-0</f>
        <v>84</v>
      </c>
      <c r="S81">
        <v>1</v>
      </c>
      <c r="T81">
        <v>128</v>
      </c>
      <c r="U81" s="2" cm="1">
        <f t="array" ref="U81">SUMPRODUCT((Tabelle1[Seite]=Q81)*Tabelle1[Score_Gewichtet])</f>
        <v>1.5</v>
      </c>
      <c r="V81" s="2" t="s">
        <v>156</v>
      </c>
      <c r="W81">
        <v>2</v>
      </c>
      <c r="X81">
        <v>3</v>
      </c>
      <c r="Y81" t="s">
        <v>157</v>
      </c>
    </row>
    <row r="82" spans="1:25" x14ac:dyDescent="0.2">
      <c r="A82" t="s">
        <v>126</v>
      </c>
      <c r="B82">
        <v>9</v>
      </c>
      <c r="C82" t="s">
        <v>27</v>
      </c>
      <c r="D82" t="s">
        <v>2</v>
      </c>
      <c r="E82" t="s">
        <v>42</v>
      </c>
      <c r="F82">
        <v>0</v>
      </c>
      <c r="G82">
        <v>0</v>
      </c>
      <c r="H82">
        <v>1</v>
      </c>
      <c r="I82">
        <v>0</v>
      </c>
      <c r="J82">
        <v>1</v>
      </c>
      <c r="K82">
        <v>0.5</v>
      </c>
      <c r="M82">
        <v>85</v>
      </c>
      <c r="N82">
        <f t="shared" si="3"/>
        <v>12</v>
      </c>
      <c r="O82">
        <f t="shared" si="4"/>
        <v>10</v>
      </c>
      <c r="Q82">
        <v>85</v>
      </c>
      <c r="R82" s="1">
        <f>Tabelle35[[#This Row],[Seite]]-0</f>
        <v>85</v>
      </c>
      <c r="S82">
        <v>12</v>
      </c>
      <c r="T82">
        <v>10</v>
      </c>
      <c r="U82" s="2" cm="1">
        <f t="array" ref="U82">SUMPRODUCT((Tabelle1[Seite]=Q82)*Tabelle1[Score_Gewichtet])</f>
        <v>11.749999999999998</v>
      </c>
      <c r="V82" s="2"/>
    </row>
    <row r="83" spans="1:25" x14ac:dyDescent="0.2">
      <c r="A83" t="s">
        <v>126</v>
      </c>
      <c r="B83">
        <v>10</v>
      </c>
      <c r="C83" t="s">
        <v>4</v>
      </c>
      <c r="D83" t="s">
        <v>33</v>
      </c>
      <c r="E83" t="s">
        <v>36</v>
      </c>
      <c r="F83">
        <v>1</v>
      </c>
      <c r="G83">
        <v>0</v>
      </c>
      <c r="H83">
        <v>0</v>
      </c>
      <c r="I83">
        <v>0</v>
      </c>
      <c r="J83">
        <v>1</v>
      </c>
      <c r="K83">
        <v>1</v>
      </c>
      <c r="M83">
        <v>86</v>
      </c>
      <c r="N83">
        <f t="shared" si="3"/>
        <v>13</v>
      </c>
      <c r="O83">
        <f t="shared" si="4"/>
        <v>7</v>
      </c>
      <c r="Q83">
        <v>86</v>
      </c>
      <c r="R83" s="1">
        <f>Tabelle35[[#This Row],[Seite]]-0</f>
        <v>86</v>
      </c>
      <c r="S83">
        <v>13</v>
      </c>
      <c r="T83">
        <v>7</v>
      </c>
      <c r="U83" s="2" cm="1">
        <f t="array" ref="U83">SUMPRODUCT((Tabelle1[Seite]=Q83)*Tabelle1[Score_Gewichtet])</f>
        <v>14.2</v>
      </c>
      <c r="V83" s="2"/>
    </row>
    <row r="84" spans="1:25" x14ac:dyDescent="0.2">
      <c r="A84" t="s">
        <v>126</v>
      </c>
      <c r="B84">
        <v>10</v>
      </c>
      <c r="C84" t="s">
        <v>4</v>
      </c>
      <c r="D84" t="s">
        <v>6</v>
      </c>
      <c r="E84" t="s">
        <v>45</v>
      </c>
      <c r="F84">
        <v>0</v>
      </c>
      <c r="G84">
        <v>4</v>
      </c>
      <c r="H84">
        <v>0</v>
      </c>
      <c r="I84">
        <v>0</v>
      </c>
      <c r="J84">
        <v>4</v>
      </c>
      <c r="K84">
        <v>3</v>
      </c>
      <c r="M84">
        <v>87</v>
      </c>
      <c r="N84">
        <f t="shared" si="3"/>
        <v>5</v>
      </c>
      <c r="O84">
        <f t="shared" si="4"/>
        <v>74</v>
      </c>
      <c r="Q84">
        <v>87</v>
      </c>
      <c r="R84" s="1">
        <f>Tabelle35[[#This Row],[Seite]]-0</f>
        <v>87</v>
      </c>
      <c r="S84">
        <v>5</v>
      </c>
      <c r="T84">
        <v>74</v>
      </c>
      <c r="U84" s="2" cm="1">
        <f t="array" ref="U84">SUMPRODUCT((Tabelle1[Seite]=Q84)*Tabelle1[Score_Gewichtet])</f>
        <v>10.5</v>
      </c>
      <c r="V84" s="2"/>
    </row>
    <row r="85" spans="1:25" x14ac:dyDescent="0.2">
      <c r="A85" t="s">
        <v>126</v>
      </c>
      <c r="B85">
        <v>10</v>
      </c>
      <c r="C85" t="s">
        <v>4</v>
      </c>
      <c r="D85" t="s">
        <v>6</v>
      </c>
      <c r="E85" t="s">
        <v>10</v>
      </c>
      <c r="F85">
        <v>0</v>
      </c>
      <c r="G85">
        <v>2</v>
      </c>
      <c r="H85">
        <v>0</v>
      </c>
      <c r="I85">
        <v>0</v>
      </c>
      <c r="J85">
        <v>2</v>
      </c>
      <c r="K85">
        <v>1.5</v>
      </c>
      <c r="M85">
        <v>88</v>
      </c>
      <c r="N85">
        <f t="shared" si="3"/>
        <v>3</v>
      </c>
      <c r="O85">
        <f t="shared" si="4"/>
        <v>105</v>
      </c>
      <c r="Q85">
        <v>88</v>
      </c>
      <c r="R85" s="1">
        <f>Tabelle35[[#This Row],[Seite]]-0</f>
        <v>88</v>
      </c>
      <c r="S85">
        <v>3</v>
      </c>
      <c r="T85">
        <v>105</v>
      </c>
      <c r="U85" s="2" cm="1">
        <f t="array" ref="U85">SUMPRODUCT((Tabelle1[Seite]=Q85)*Tabelle1[Score_Gewichtet])</f>
        <v>1.7</v>
      </c>
      <c r="V85" s="2"/>
    </row>
    <row r="86" spans="1:25" x14ac:dyDescent="0.2">
      <c r="A86" t="s">
        <v>126</v>
      </c>
      <c r="B86">
        <v>10</v>
      </c>
      <c r="C86" t="s">
        <v>4</v>
      </c>
      <c r="D86" t="s">
        <v>2</v>
      </c>
      <c r="E86" t="s">
        <v>53</v>
      </c>
      <c r="F86">
        <v>0</v>
      </c>
      <c r="G86">
        <v>0</v>
      </c>
      <c r="H86">
        <v>0</v>
      </c>
      <c r="I86">
        <v>1</v>
      </c>
      <c r="J86">
        <v>1</v>
      </c>
      <c r="K86">
        <v>0.1</v>
      </c>
      <c r="M86">
        <v>89</v>
      </c>
      <c r="N86">
        <f t="shared" si="3"/>
        <v>7</v>
      </c>
      <c r="O86">
        <f t="shared" si="4"/>
        <v>47</v>
      </c>
      <c r="Q86">
        <v>89</v>
      </c>
      <c r="R86" s="1">
        <f>Tabelle35[[#This Row],[Seite]]-0</f>
        <v>89</v>
      </c>
      <c r="S86">
        <v>7</v>
      </c>
      <c r="T86">
        <v>47</v>
      </c>
      <c r="U86" s="2" cm="1">
        <f t="array" ref="U86">SUMPRODUCT((Tabelle1[Seite]=Q86)*Tabelle1[Score_Gewichtet])</f>
        <v>4.8</v>
      </c>
      <c r="V86" s="2"/>
    </row>
    <row r="87" spans="1:25" x14ac:dyDescent="0.2">
      <c r="A87" t="s">
        <v>126</v>
      </c>
      <c r="B87">
        <v>10</v>
      </c>
      <c r="C87" t="s">
        <v>1</v>
      </c>
      <c r="D87" t="s">
        <v>33</v>
      </c>
      <c r="E87" t="s">
        <v>45</v>
      </c>
      <c r="F87">
        <v>0</v>
      </c>
      <c r="G87">
        <v>4</v>
      </c>
      <c r="H87">
        <v>0</v>
      </c>
      <c r="I87">
        <v>0</v>
      </c>
      <c r="J87">
        <v>4</v>
      </c>
      <c r="K87">
        <v>3</v>
      </c>
      <c r="M87">
        <v>90</v>
      </c>
      <c r="N87">
        <f t="shared" si="3"/>
        <v>3</v>
      </c>
      <c r="O87">
        <f t="shared" si="4"/>
        <v>105</v>
      </c>
      <c r="Q87">
        <v>90</v>
      </c>
      <c r="R87" s="1">
        <f>Tabelle35[[#This Row],[Seite]]-0</f>
        <v>90</v>
      </c>
      <c r="S87">
        <v>3</v>
      </c>
      <c r="T87">
        <v>105</v>
      </c>
      <c r="U87" s="2" cm="1">
        <f t="array" ref="U87">SUMPRODUCT((Tabelle1[Seite]=Q87)*Tabelle1[Score_Gewichtet])</f>
        <v>2</v>
      </c>
      <c r="V87" s="2"/>
    </row>
    <row r="88" spans="1:25" x14ac:dyDescent="0.2">
      <c r="A88" t="s">
        <v>126</v>
      </c>
      <c r="B88">
        <v>10</v>
      </c>
      <c r="C88" t="s">
        <v>1</v>
      </c>
      <c r="D88" t="s">
        <v>2</v>
      </c>
      <c r="E88" t="s">
        <v>94</v>
      </c>
      <c r="F88">
        <v>0</v>
      </c>
      <c r="G88">
        <v>0</v>
      </c>
      <c r="H88">
        <v>2</v>
      </c>
      <c r="I88">
        <v>0</v>
      </c>
      <c r="J88">
        <v>2</v>
      </c>
      <c r="K88">
        <v>1</v>
      </c>
      <c r="M88">
        <v>91</v>
      </c>
      <c r="N88">
        <f t="shared" si="3"/>
        <v>8</v>
      </c>
      <c r="O88">
        <f t="shared" si="4"/>
        <v>35</v>
      </c>
      <c r="Q88">
        <v>91</v>
      </c>
      <c r="R88" s="1">
        <f>Tabelle35[[#This Row],[Seite]]-0</f>
        <v>91</v>
      </c>
      <c r="S88">
        <v>8</v>
      </c>
      <c r="T88">
        <v>35</v>
      </c>
      <c r="U88" s="2" cm="1">
        <f t="array" ref="U88">SUMPRODUCT((Tabelle1[Seite]=Q88)*Tabelle1[Score_Gewichtet])</f>
        <v>6.45</v>
      </c>
      <c r="V88" s="2"/>
    </row>
    <row r="89" spans="1:25" x14ac:dyDescent="0.2">
      <c r="A89" t="s">
        <v>126</v>
      </c>
      <c r="B89">
        <v>10</v>
      </c>
      <c r="C89" t="s">
        <v>15</v>
      </c>
      <c r="D89" t="s">
        <v>6</v>
      </c>
      <c r="E89" t="s">
        <v>94</v>
      </c>
      <c r="F89">
        <v>0</v>
      </c>
      <c r="G89">
        <v>0</v>
      </c>
      <c r="H89">
        <v>2</v>
      </c>
      <c r="I89">
        <v>0</v>
      </c>
      <c r="J89">
        <v>2</v>
      </c>
      <c r="K89">
        <v>1</v>
      </c>
      <c r="M89">
        <v>92</v>
      </c>
      <c r="N89">
        <f t="shared" si="3"/>
        <v>5</v>
      </c>
      <c r="O89">
        <f t="shared" si="4"/>
        <v>74</v>
      </c>
      <c r="Q89">
        <v>92</v>
      </c>
      <c r="R89" s="1">
        <f>Tabelle35[[#This Row],[Seite]]-0</f>
        <v>92</v>
      </c>
      <c r="S89">
        <v>5</v>
      </c>
      <c r="T89">
        <v>74</v>
      </c>
      <c r="U89" s="2" cm="1">
        <f t="array" ref="U89">SUMPRODUCT((Tabelle1[Seite]=Q89)*Tabelle1[Score_Gewichtet])</f>
        <v>3.5</v>
      </c>
      <c r="V89" s="2"/>
    </row>
    <row r="90" spans="1:25" x14ac:dyDescent="0.2">
      <c r="A90" t="s">
        <v>126</v>
      </c>
      <c r="B90">
        <v>10</v>
      </c>
      <c r="C90" t="s">
        <v>23</v>
      </c>
      <c r="D90" t="s">
        <v>33</v>
      </c>
      <c r="E90" t="s">
        <v>40</v>
      </c>
      <c r="F90">
        <v>0</v>
      </c>
      <c r="G90">
        <v>0</v>
      </c>
      <c r="H90">
        <v>1</v>
      </c>
      <c r="I90">
        <v>0</v>
      </c>
      <c r="J90">
        <v>1</v>
      </c>
      <c r="K90">
        <v>0.5</v>
      </c>
      <c r="M90">
        <v>93</v>
      </c>
      <c r="N90">
        <f t="shared" si="3"/>
        <v>3</v>
      </c>
      <c r="O90">
        <f t="shared" si="4"/>
        <v>105</v>
      </c>
      <c r="Q90">
        <v>93</v>
      </c>
      <c r="R90" s="1">
        <f>Tabelle35[[#This Row],[Seite]]-0</f>
        <v>93</v>
      </c>
      <c r="S90">
        <v>3</v>
      </c>
      <c r="T90">
        <v>105</v>
      </c>
      <c r="U90" s="2" cm="1">
        <f t="array" ref="U90">SUMPRODUCT((Tabelle1[Seite]=Q90)*Tabelle1[Score_Gewichtet])</f>
        <v>5</v>
      </c>
      <c r="V90" s="2"/>
    </row>
    <row r="91" spans="1:25" x14ac:dyDescent="0.2">
      <c r="A91" t="s">
        <v>126</v>
      </c>
      <c r="B91">
        <v>10</v>
      </c>
      <c r="C91" t="s">
        <v>23</v>
      </c>
      <c r="D91" t="s">
        <v>2</v>
      </c>
      <c r="E91" t="s">
        <v>10</v>
      </c>
      <c r="F91">
        <v>0</v>
      </c>
      <c r="G91">
        <v>2</v>
      </c>
      <c r="H91">
        <v>0</v>
      </c>
      <c r="I91">
        <v>0</v>
      </c>
      <c r="J91">
        <v>2</v>
      </c>
      <c r="K91">
        <v>1.5</v>
      </c>
      <c r="M91">
        <v>94</v>
      </c>
      <c r="N91">
        <f t="shared" si="3"/>
        <v>4</v>
      </c>
      <c r="O91">
        <f t="shared" si="4"/>
        <v>89</v>
      </c>
      <c r="Q91">
        <v>94</v>
      </c>
      <c r="R91" s="1">
        <f>Tabelle35[[#This Row],[Seite]]-0</f>
        <v>94</v>
      </c>
      <c r="S91">
        <v>4</v>
      </c>
      <c r="T91">
        <v>89</v>
      </c>
      <c r="U91" s="2" cm="1">
        <f t="array" ref="U91">SUMPRODUCT((Tabelle1[Seite]=Q91)*Tabelle1[Score_Gewichtet])</f>
        <v>12.2</v>
      </c>
      <c r="V91" s="2"/>
    </row>
    <row r="92" spans="1:25" x14ac:dyDescent="0.2">
      <c r="A92" t="s">
        <v>126</v>
      </c>
      <c r="B92">
        <v>10</v>
      </c>
      <c r="C92" t="s">
        <v>23</v>
      </c>
      <c r="D92" t="s">
        <v>6</v>
      </c>
      <c r="E92" t="s">
        <v>25</v>
      </c>
      <c r="F92">
        <v>0</v>
      </c>
      <c r="G92">
        <v>2</v>
      </c>
      <c r="H92">
        <v>0</v>
      </c>
      <c r="I92">
        <v>0</v>
      </c>
      <c r="J92">
        <v>2</v>
      </c>
      <c r="K92">
        <v>1.5</v>
      </c>
      <c r="M92">
        <v>95</v>
      </c>
      <c r="N92">
        <f t="shared" si="3"/>
        <v>1</v>
      </c>
      <c r="O92">
        <f t="shared" si="4"/>
        <v>128</v>
      </c>
      <c r="Q92">
        <v>95</v>
      </c>
      <c r="R92" s="1">
        <f>Tabelle35[[#This Row],[Seite]]-0</f>
        <v>95</v>
      </c>
      <c r="S92">
        <v>1</v>
      </c>
      <c r="T92">
        <v>128</v>
      </c>
      <c r="U92" s="2" cm="1">
        <f t="array" ref="U92">SUMPRODUCT((Tabelle1[Seite]=Q92)*Tabelle1[Score_Gewichtet])</f>
        <v>1.5</v>
      </c>
      <c r="V92" s="2"/>
    </row>
    <row r="93" spans="1:25" x14ac:dyDescent="0.2">
      <c r="A93" t="s">
        <v>126</v>
      </c>
      <c r="B93">
        <v>10</v>
      </c>
      <c r="C93" t="s">
        <v>23</v>
      </c>
      <c r="D93" t="s">
        <v>2</v>
      </c>
      <c r="E93" t="s">
        <v>61</v>
      </c>
      <c r="F93">
        <v>3</v>
      </c>
      <c r="G93">
        <v>0</v>
      </c>
      <c r="H93">
        <v>0</v>
      </c>
      <c r="I93">
        <v>0</v>
      </c>
      <c r="J93">
        <v>3</v>
      </c>
      <c r="K93">
        <v>3</v>
      </c>
      <c r="M93">
        <v>96</v>
      </c>
      <c r="N93">
        <f t="shared" si="3"/>
        <v>4</v>
      </c>
      <c r="O93">
        <f t="shared" si="4"/>
        <v>89</v>
      </c>
      <c r="Q93">
        <v>96</v>
      </c>
      <c r="R93" s="1">
        <f>Tabelle35[[#This Row],[Seite]]-0</f>
        <v>96</v>
      </c>
      <c r="S93">
        <v>4</v>
      </c>
      <c r="T93">
        <v>89</v>
      </c>
      <c r="U93" s="2" cm="1">
        <f t="array" ref="U93">SUMPRODUCT((Tabelle1[Seite]=Q93)*Tabelle1[Score_Gewichtet])</f>
        <v>0.5</v>
      </c>
      <c r="V93" s="2"/>
    </row>
    <row r="94" spans="1:25" x14ac:dyDescent="0.2">
      <c r="A94" t="s">
        <v>126</v>
      </c>
      <c r="B94">
        <v>10</v>
      </c>
      <c r="C94" t="s">
        <v>23</v>
      </c>
      <c r="D94" t="s">
        <v>2</v>
      </c>
      <c r="E94" t="s">
        <v>35</v>
      </c>
      <c r="F94">
        <v>0</v>
      </c>
      <c r="G94">
        <v>0</v>
      </c>
      <c r="H94">
        <v>1</v>
      </c>
      <c r="I94">
        <v>0</v>
      </c>
      <c r="J94">
        <v>1</v>
      </c>
      <c r="K94">
        <v>0.5</v>
      </c>
      <c r="M94">
        <v>97</v>
      </c>
      <c r="N94">
        <f t="shared" si="3"/>
        <v>5</v>
      </c>
      <c r="O94">
        <f t="shared" si="4"/>
        <v>74</v>
      </c>
      <c r="Q94">
        <v>97</v>
      </c>
      <c r="R94" s="1">
        <f>Tabelle35[[#This Row],[Seite]]-0</f>
        <v>97</v>
      </c>
      <c r="S94">
        <v>5</v>
      </c>
      <c r="T94">
        <v>74</v>
      </c>
      <c r="U94" s="2" cm="1">
        <f t="array" ref="U94">SUMPRODUCT((Tabelle1[Seite]=Q94)*Tabelle1[Score_Gewichtet])</f>
        <v>3.85</v>
      </c>
      <c r="V94" s="2"/>
    </row>
    <row r="95" spans="1:25" x14ac:dyDescent="0.2">
      <c r="A95" t="s">
        <v>126</v>
      </c>
      <c r="B95">
        <v>10</v>
      </c>
      <c r="C95" t="s">
        <v>27</v>
      </c>
      <c r="D95" t="s">
        <v>2</v>
      </c>
      <c r="E95" t="s">
        <v>42</v>
      </c>
      <c r="F95">
        <v>0</v>
      </c>
      <c r="G95">
        <v>3</v>
      </c>
      <c r="H95">
        <v>0</v>
      </c>
      <c r="I95">
        <v>0</v>
      </c>
      <c r="J95">
        <v>3</v>
      </c>
      <c r="K95">
        <v>2.25</v>
      </c>
      <c r="M95">
        <v>98</v>
      </c>
      <c r="N95">
        <f t="shared" si="3"/>
        <v>4</v>
      </c>
      <c r="O95">
        <f t="shared" si="4"/>
        <v>89</v>
      </c>
      <c r="Q95">
        <v>98</v>
      </c>
      <c r="R95" s="1">
        <f>Tabelle35[[#This Row],[Seite]]-0</f>
        <v>98</v>
      </c>
      <c r="S95">
        <v>4</v>
      </c>
      <c r="T95">
        <v>89</v>
      </c>
      <c r="U95" s="2" cm="1">
        <f t="array" ref="U95">SUMPRODUCT((Tabelle1[Seite]=Q95)*Tabelle1[Score_Gewichtet])</f>
        <v>2</v>
      </c>
      <c r="V95" s="2"/>
    </row>
    <row r="96" spans="1:25" x14ac:dyDescent="0.2">
      <c r="A96" t="s">
        <v>126</v>
      </c>
      <c r="B96">
        <v>11</v>
      </c>
      <c r="C96" t="s">
        <v>18</v>
      </c>
      <c r="D96" t="s">
        <v>6</v>
      </c>
      <c r="E96" t="s">
        <v>22</v>
      </c>
      <c r="F96">
        <v>1</v>
      </c>
      <c r="G96">
        <v>0</v>
      </c>
      <c r="H96">
        <v>0</v>
      </c>
      <c r="I96">
        <v>0</v>
      </c>
      <c r="J96">
        <v>1</v>
      </c>
      <c r="K96">
        <v>1</v>
      </c>
      <c r="M96">
        <v>99</v>
      </c>
      <c r="N96">
        <f t="shared" si="3"/>
        <v>8</v>
      </c>
      <c r="O96">
        <f t="shared" si="4"/>
        <v>35</v>
      </c>
      <c r="Q96">
        <v>99</v>
      </c>
      <c r="R96" s="1">
        <f>Tabelle35[[#This Row],[Seite]]-0</f>
        <v>99</v>
      </c>
      <c r="S96">
        <v>8</v>
      </c>
      <c r="T96">
        <v>35</v>
      </c>
      <c r="U96" s="2" cm="1">
        <f t="array" ref="U96">SUMPRODUCT((Tabelle1[Seite]=Q96)*Tabelle1[Score_Gewichtet])</f>
        <v>4.95</v>
      </c>
      <c r="V96" s="2"/>
    </row>
    <row r="97" spans="1:22" x14ac:dyDescent="0.2">
      <c r="A97" t="s">
        <v>126</v>
      </c>
      <c r="B97">
        <v>11</v>
      </c>
      <c r="C97" t="s">
        <v>27</v>
      </c>
      <c r="D97" t="s">
        <v>6</v>
      </c>
      <c r="E97" t="s">
        <v>28</v>
      </c>
      <c r="F97">
        <v>0</v>
      </c>
      <c r="G97">
        <v>1</v>
      </c>
      <c r="H97">
        <v>0</v>
      </c>
      <c r="I97">
        <v>0</v>
      </c>
      <c r="J97">
        <v>1</v>
      </c>
      <c r="K97">
        <v>0.75</v>
      </c>
      <c r="M97">
        <v>100</v>
      </c>
      <c r="N97">
        <f t="shared" si="3"/>
        <v>12</v>
      </c>
      <c r="O97">
        <f t="shared" si="4"/>
        <v>10</v>
      </c>
      <c r="Q97">
        <v>100</v>
      </c>
      <c r="R97" s="1">
        <f>Tabelle35[[#This Row],[Seite]]-0</f>
        <v>100</v>
      </c>
      <c r="S97">
        <v>12</v>
      </c>
      <c r="T97">
        <v>10</v>
      </c>
      <c r="U97" s="2" cm="1">
        <f t="array" ref="U97">SUMPRODUCT((Tabelle1[Seite]=Q97)*Tabelle1[Score_Gewichtet])</f>
        <v>6.8</v>
      </c>
      <c r="V97" s="2"/>
    </row>
    <row r="98" spans="1:22" x14ac:dyDescent="0.2">
      <c r="A98" t="s">
        <v>126</v>
      </c>
      <c r="B98">
        <v>12</v>
      </c>
      <c r="C98" t="s">
        <v>4</v>
      </c>
      <c r="D98" t="s">
        <v>2</v>
      </c>
      <c r="E98" t="s">
        <v>32</v>
      </c>
      <c r="F98">
        <v>0</v>
      </c>
      <c r="G98">
        <v>1</v>
      </c>
      <c r="H98">
        <v>0</v>
      </c>
      <c r="I98">
        <v>0</v>
      </c>
      <c r="J98">
        <v>1</v>
      </c>
      <c r="K98">
        <v>0.75</v>
      </c>
      <c r="M98">
        <v>101</v>
      </c>
      <c r="N98">
        <f t="shared" ref="N98:N129" si="5">COUNTIF(B$2:B$867, M98)</f>
        <v>8</v>
      </c>
      <c r="O98">
        <f t="shared" si="4"/>
        <v>35</v>
      </c>
      <c r="Q98">
        <v>101</v>
      </c>
      <c r="R98" s="1">
        <f>Tabelle35[[#This Row],[Seite]]-0</f>
        <v>101</v>
      </c>
      <c r="S98">
        <v>8</v>
      </c>
      <c r="T98">
        <v>35</v>
      </c>
      <c r="U98" s="2" cm="1">
        <f t="array" ref="U98">SUMPRODUCT((Tabelle1[Seite]=Q98)*Tabelle1[Score_Gewichtet])</f>
        <v>5.4</v>
      </c>
      <c r="V98" s="2"/>
    </row>
    <row r="99" spans="1:22" x14ac:dyDescent="0.2">
      <c r="A99" t="s">
        <v>126</v>
      </c>
      <c r="B99">
        <v>12</v>
      </c>
      <c r="C99" t="s">
        <v>23</v>
      </c>
      <c r="D99" t="s">
        <v>33</v>
      </c>
      <c r="E99" t="s">
        <v>34</v>
      </c>
      <c r="F99">
        <v>0</v>
      </c>
      <c r="G99">
        <v>1</v>
      </c>
      <c r="H99">
        <v>0</v>
      </c>
      <c r="I99">
        <v>0</v>
      </c>
      <c r="J99">
        <v>1</v>
      </c>
      <c r="K99">
        <v>0.75</v>
      </c>
      <c r="M99">
        <v>102</v>
      </c>
      <c r="N99">
        <f t="shared" si="5"/>
        <v>11</v>
      </c>
      <c r="O99">
        <f t="shared" si="4"/>
        <v>16</v>
      </c>
      <c r="Q99">
        <v>102</v>
      </c>
      <c r="R99" s="1">
        <f>Tabelle35[[#This Row],[Seite]]-0</f>
        <v>102</v>
      </c>
      <c r="S99">
        <v>11</v>
      </c>
      <c r="T99">
        <v>16</v>
      </c>
      <c r="U99" s="2" cm="1">
        <f t="array" ref="U99">SUMPRODUCT((Tabelle1[Seite]=Q99)*Tabelle1[Score_Gewichtet])</f>
        <v>19.349999999999998</v>
      </c>
      <c r="V99" s="2" t="s">
        <v>152</v>
      </c>
    </row>
    <row r="100" spans="1:22" x14ac:dyDescent="0.2">
      <c r="A100" t="s">
        <v>126</v>
      </c>
      <c r="B100">
        <v>14</v>
      </c>
      <c r="C100" t="s">
        <v>4</v>
      </c>
      <c r="D100" t="s">
        <v>2</v>
      </c>
      <c r="E100" t="s">
        <v>32</v>
      </c>
      <c r="F100">
        <v>0</v>
      </c>
      <c r="G100">
        <v>1</v>
      </c>
      <c r="H100">
        <v>0</v>
      </c>
      <c r="I100">
        <v>0</v>
      </c>
      <c r="J100">
        <v>1</v>
      </c>
      <c r="K100">
        <v>0.75</v>
      </c>
      <c r="M100">
        <v>103</v>
      </c>
      <c r="N100">
        <f t="shared" si="5"/>
        <v>6</v>
      </c>
      <c r="O100">
        <f t="shared" si="4"/>
        <v>58</v>
      </c>
      <c r="Q100">
        <v>103</v>
      </c>
      <c r="R100" s="1">
        <f>Tabelle35[[#This Row],[Seite]]-0</f>
        <v>103</v>
      </c>
      <c r="S100">
        <v>6</v>
      </c>
      <c r="T100">
        <v>58</v>
      </c>
      <c r="U100" s="2" cm="1">
        <f t="array" ref="U100">SUMPRODUCT((Tabelle1[Seite]=Q100)*Tabelle1[Score_Gewichtet])</f>
        <v>10.200000000000001</v>
      </c>
      <c r="V100" s="2"/>
    </row>
    <row r="101" spans="1:22" x14ac:dyDescent="0.2">
      <c r="A101" t="s">
        <v>126</v>
      </c>
      <c r="B101">
        <v>14</v>
      </c>
      <c r="C101" t="s">
        <v>1</v>
      </c>
      <c r="D101" t="s">
        <v>2</v>
      </c>
      <c r="E101" t="s">
        <v>127</v>
      </c>
      <c r="F101">
        <v>0</v>
      </c>
      <c r="G101">
        <v>0</v>
      </c>
      <c r="H101">
        <v>0</v>
      </c>
      <c r="I101">
        <v>1</v>
      </c>
      <c r="J101">
        <v>1</v>
      </c>
      <c r="K101">
        <v>0.1</v>
      </c>
      <c r="M101">
        <v>104</v>
      </c>
      <c r="N101">
        <f t="shared" si="5"/>
        <v>9</v>
      </c>
      <c r="O101">
        <f t="shared" si="4"/>
        <v>24</v>
      </c>
      <c r="Q101">
        <v>104</v>
      </c>
      <c r="R101" s="1">
        <f>Tabelle35[[#This Row],[Seite]]-0</f>
        <v>104</v>
      </c>
      <c r="S101">
        <v>9</v>
      </c>
      <c r="T101">
        <v>24</v>
      </c>
      <c r="U101" s="2" cm="1">
        <f t="array" ref="U101">SUMPRODUCT((Tabelle1[Seite]=Q101)*Tabelle1[Score_Gewichtet])</f>
        <v>5.4499999999999993</v>
      </c>
      <c r="V101" s="2"/>
    </row>
    <row r="102" spans="1:22" x14ac:dyDescent="0.2">
      <c r="A102" t="s">
        <v>126</v>
      </c>
      <c r="B102">
        <v>14</v>
      </c>
      <c r="C102" t="s">
        <v>23</v>
      </c>
      <c r="D102" t="s">
        <v>33</v>
      </c>
      <c r="E102" t="s">
        <v>34</v>
      </c>
      <c r="F102">
        <v>0</v>
      </c>
      <c r="G102">
        <v>1</v>
      </c>
      <c r="H102">
        <v>0</v>
      </c>
      <c r="I102">
        <v>0</v>
      </c>
      <c r="J102">
        <v>1</v>
      </c>
      <c r="K102">
        <v>0.75</v>
      </c>
      <c r="M102">
        <v>105</v>
      </c>
      <c r="N102">
        <f t="shared" si="5"/>
        <v>2</v>
      </c>
      <c r="O102">
        <f t="shared" si="4"/>
        <v>115</v>
      </c>
      <c r="Q102">
        <v>105</v>
      </c>
      <c r="R102" s="1">
        <f>Tabelle35[[#This Row],[Seite]]-0</f>
        <v>105</v>
      </c>
      <c r="S102">
        <v>2</v>
      </c>
      <c r="T102">
        <v>115</v>
      </c>
      <c r="U102" s="2" cm="1">
        <f t="array" ref="U102">SUMPRODUCT((Tabelle1[Seite]=Q102)*Tabelle1[Score_Gewichtet])</f>
        <v>1.5</v>
      </c>
      <c r="V102" s="2"/>
    </row>
    <row r="103" spans="1:22" x14ac:dyDescent="0.2">
      <c r="A103" t="s">
        <v>126</v>
      </c>
      <c r="B103">
        <v>14</v>
      </c>
      <c r="C103" t="s">
        <v>23</v>
      </c>
      <c r="D103" t="s">
        <v>2</v>
      </c>
      <c r="E103" t="s">
        <v>61</v>
      </c>
      <c r="F103">
        <v>0</v>
      </c>
      <c r="G103">
        <v>0</v>
      </c>
      <c r="H103">
        <v>1</v>
      </c>
      <c r="I103">
        <v>0</v>
      </c>
      <c r="J103">
        <v>1</v>
      </c>
      <c r="K103">
        <v>0.5</v>
      </c>
      <c r="M103">
        <v>106</v>
      </c>
      <c r="N103">
        <f t="shared" si="5"/>
        <v>7</v>
      </c>
      <c r="O103">
        <f t="shared" si="4"/>
        <v>47</v>
      </c>
      <c r="Q103">
        <v>106</v>
      </c>
      <c r="R103" s="1">
        <f>Tabelle35[[#This Row],[Seite]]-0</f>
        <v>106</v>
      </c>
      <c r="S103">
        <v>7</v>
      </c>
      <c r="T103">
        <v>47</v>
      </c>
      <c r="U103" s="2" cm="1">
        <f t="array" ref="U103">SUMPRODUCT((Tabelle1[Seite]=Q103)*Tabelle1[Score_Gewichtet])</f>
        <v>3.05</v>
      </c>
      <c r="V103" s="2"/>
    </row>
    <row r="104" spans="1:22" x14ac:dyDescent="0.2">
      <c r="A104" t="s">
        <v>126</v>
      </c>
      <c r="B104">
        <v>15</v>
      </c>
      <c r="C104" t="s">
        <v>4</v>
      </c>
      <c r="D104" t="s">
        <v>6</v>
      </c>
      <c r="E104" t="s">
        <v>10</v>
      </c>
      <c r="F104">
        <v>0</v>
      </c>
      <c r="G104">
        <v>0</v>
      </c>
      <c r="H104">
        <v>1</v>
      </c>
      <c r="I104">
        <v>0</v>
      </c>
      <c r="J104">
        <v>1</v>
      </c>
      <c r="K104">
        <v>0.5</v>
      </c>
      <c r="M104">
        <v>108</v>
      </c>
      <c r="N104">
        <f t="shared" si="5"/>
        <v>4</v>
      </c>
      <c r="O104">
        <f t="shared" si="4"/>
        <v>89</v>
      </c>
      <c r="Q104">
        <v>108</v>
      </c>
      <c r="R104" s="1">
        <f>Tabelle35[[#This Row],[Seite]]-0</f>
        <v>108</v>
      </c>
      <c r="S104">
        <v>4</v>
      </c>
      <c r="T104">
        <v>89</v>
      </c>
      <c r="U104" s="2" cm="1">
        <f t="array" ref="U104">SUMPRODUCT((Tabelle1[Seite]=Q104)*Tabelle1[Score_Gewichtet])</f>
        <v>4.8000000000000007</v>
      </c>
      <c r="V104" s="2"/>
    </row>
    <row r="105" spans="1:22" x14ac:dyDescent="0.2">
      <c r="A105" t="s">
        <v>126</v>
      </c>
      <c r="B105">
        <v>15</v>
      </c>
      <c r="C105" t="s">
        <v>18</v>
      </c>
      <c r="D105" t="s">
        <v>2</v>
      </c>
      <c r="E105" t="s">
        <v>21</v>
      </c>
      <c r="F105">
        <v>0</v>
      </c>
      <c r="G105">
        <v>0</v>
      </c>
      <c r="H105">
        <v>0</v>
      </c>
      <c r="I105">
        <v>1</v>
      </c>
      <c r="J105">
        <v>1</v>
      </c>
      <c r="K105">
        <v>0.1</v>
      </c>
      <c r="M105">
        <v>110</v>
      </c>
      <c r="N105">
        <f t="shared" si="5"/>
        <v>8</v>
      </c>
      <c r="O105">
        <f t="shared" si="4"/>
        <v>35</v>
      </c>
      <c r="Q105">
        <v>110</v>
      </c>
      <c r="R105" s="1">
        <f>Tabelle35[[#This Row],[Seite]]-0</f>
        <v>110</v>
      </c>
      <c r="S105">
        <v>8</v>
      </c>
      <c r="T105">
        <v>35</v>
      </c>
      <c r="U105" s="2" cm="1">
        <f t="array" ref="U105">SUMPRODUCT((Tabelle1[Seite]=Q105)*Tabelle1[Score_Gewichtet])</f>
        <v>5.15</v>
      </c>
      <c r="V105" s="2"/>
    </row>
    <row r="106" spans="1:22" x14ac:dyDescent="0.2">
      <c r="A106" t="s">
        <v>126</v>
      </c>
      <c r="B106">
        <v>15</v>
      </c>
      <c r="C106" t="s">
        <v>23</v>
      </c>
      <c r="D106" t="s">
        <v>2</v>
      </c>
      <c r="E106" t="s">
        <v>10</v>
      </c>
      <c r="F106">
        <v>0</v>
      </c>
      <c r="G106">
        <v>0</v>
      </c>
      <c r="H106">
        <v>1</v>
      </c>
      <c r="I106">
        <v>0</v>
      </c>
      <c r="J106">
        <v>1</v>
      </c>
      <c r="K106">
        <v>0.5</v>
      </c>
      <c r="M106">
        <v>111</v>
      </c>
      <c r="N106">
        <f t="shared" si="5"/>
        <v>9</v>
      </c>
      <c r="O106">
        <f t="shared" si="4"/>
        <v>24</v>
      </c>
      <c r="Q106">
        <v>111</v>
      </c>
      <c r="R106" s="1">
        <f>Tabelle35[[#This Row],[Seite]]-0</f>
        <v>111</v>
      </c>
      <c r="S106">
        <v>9</v>
      </c>
      <c r="T106">
        <v>24</v>
      </c>
      <c r="U106" s="2" cm="1">
        <f t="array" ref="U106">SUMPRODUCT((Tabelle1[Seite]=Q106)*Tabelle1[Score_Gewichtet])</f>
        <v>10</v>
      </c>
      <c r="V106" s="2"/>
    </row>
    <row r="107" spans="1:22" x14ac:dyDescent="0.2">
      <c r="A107" t="s">
        <v>126</v>
      </c>
      <c r="B107">
        <v>15</v>
      </c>
      <c r="C107" t="s">
        <v>23</v>
      </c>
      <c r="D107" t="s">
        <v>6</v>
      </c>
      <c r="E107" t="s">
        <v>25</v>
      </c>
      <c r="F107">
        <v>0</v>
      </c>
      <c r="G107">
        <v>0</v>
      </c>
      <c r="H107">
        <v>1</v>
      </c>
      <c r="I107">
        <v>0</v>
      </c>
      <c r="J107">
        <v>1</v>
      </c>
      <c r="K107">
        <v>0.5</v>
      </c>
      <c r="M107">
        <v>112</v>
      </c>
      <c r="N107">
        <f t="shared" si="5"/>
        <v>5</v>
      </c>
      <c r="O107">
        <f t="shared" si="4"/>
        <v>74</v>
      </c>
      <c r="Q107">
        <v>112</v>
      </c>
      <c r="R107" s="1">
        <f>Tabelle35[[#This Row],[Seite]]-0</f>
        <v>112</v>
      </c>
      <c r="S107">
        <v>5</v>
      </c>
      <c r="T107">
        <v>74</v>
      </c>
      <c r="U107" s="2" cm="1">
        <f t="array" ref="U107">SUMPRODUCT((Tabelle1[Seite]=Q107)*Tabelle1[Score_Gewichtet])</f>
        <v>2.4500000000000002</v>
      </c>
      <c r="V107" s="2"/>
    </row>
    <row r="108" spans="1:22" x14ac:dyDescent="0.2">
      <c r="A108" t="s">
        <v>126</v>
      </c>
      <c r="B108">
        <v>16</v>
      </c>
      <c r="C108" t="s">
        <v>4</v>
      </c>
      <c r="D108" t="s">
        <v>6</v>
      </c>
      <c r="E108" t="s">
        <v>45</v>
      </c>
      <c r="F108">
        <v>0</v>
      </c>
      <c r="G108">
        <v>5</v>
      </c>
      <c r="H108">
        <v>0</v>
      </c>
      <c r="I108">
        <v>0</v>
      </c>
      <c r="J108">
        <v>5</v>
      </c>
      <c r="K108">
        <v>3.75</v>
      </c>
      <c r="M108">
        <v>113</v>
      </c>
      <c r="N108">
        <f t="shared" si="5"/>
        <v>9</v>
      </c>
      <c r="O108">
        <f t="shared" si="4"/>
        <v>24</v>
      </c>
      <c r="Q108">
        <v>113</v>
      </c>
      <c r="R108" s="1">
        <f>Tabelle35[[#This Row],[Seite]]-0</f>
        <v>113</v>
      </c>
      <c r="S108">
        <v>9</v>
      </c>
      <c r="T108">
        <v>24</v>
      </c>
      <c r="U108" s="2" cm="1">
        <f t="array" ref="U108">SUMPRODUCT((Tabelle1[Seite]=Q108)*Tabelle1[Score_Gewichtet])</f>
        <v>5.25</v>
      </c>
      <c r="V108" s="2"/>
    </row>
    <row r="109" spans="1:22" x14ac:dyDescent="0.2">
      <c r="A109" t="s">
        <v>126</v>
      </c>
      <c r="B109">
        <v>16</v>
      </c>
      <c r="C109" t="s">
        <v>1</v>
      </c>
      <c r="D109" t="s">
        <v>33</v>
      </c>
      <c r="E109" t="s">
        <v>45</v>
      </c>
      <c r="F109">
        <v>0</v>
      </c>
      <c r="G109">
        <v>5</v>
      </c>
      <c r="H109">
        <v>0</v>
      </c>
      <c r="I109">
        <v>0</v>
      </c>
      <c r="J109">
        <v>5</v>
      </c>
      <c r="K109">
        <v>3.75</v>
      </c>
      <c r="M109">
        <v>114</v>
      </c>
      <c r="N109">
        <f t="shared" si="5"/>
        <v>4</v>
      </c>
      <c r="O109">
        <f t="shared" si="4"/>
        <v>89</v>
      </c>
      <c r="Q109">
        <v>114</v>
      </c>
      <c r="R109" s="1">
        <f>Tabelle35[[#This Row],[Seite]]-0</f>
        <v>114</v>
      </c>
      <c r="S109">
        <v>4</v>
      </c>
      <c r="T109">
        <v>89</v>
      </c>
      <c r="U109" s="2" cm="1">
        <f t="array" ref="U109">SUMPRODUCT((Tabelle1[Seite]=Q109)*Tabelle1[Score_Gewichtet])</f>
        <v>1.6</v>
      </c>
      <c r="V109" s="2"/>
    </row>
    <row r="110" spans="1:22" x14ac:dyDescent="0.2">
      <c r="A110" t="s">
        <v>126</v>
      </c>
      <c r="B110">
        <v>16</v>
      </c>
      <c r="C110" t="s">
        <v>1</v>
      </c>
      <c r="D110" t="s">
        <v>2</v>
      </c>
      <c r="E110" t="s">
        <v>98</v>
      </c>
      <c r="F110">
        <v>0</v>
      </c>
      <c r="G110">
        <v>0</v>
      </c>
      <c r="H110">
        <v>1</v>
      </c>
      <c r="I110">
        <v>0</v>
      </c>
      <c r="J110">
        <v>1</v>
      </c>
      <c r="K110">
        <v>0.5</v>
      </c>
      <c r="M110">
        <v>115</v>
      </c>
      <c r="N110">
        <f t="shared" si="5"/>
        <v>13</v>
      </c>
      <c r="O110">
        <f t="shared" si="4"/>
        <v>7</v>
      </c>
      <c r="Q110">
        <v>115</v>
      </c>
      <c r="R110" s="1">
        <f>Tabelle35[[#This Row],[Seite]]-0</f>
        <v>115</v>
      </c>
      <c r="S110">
        <v>13</v>
      </c>
      <c r="T110">
        <v>7</v>
      </c>
      <c r="U110" s="2" cm="1">
        <f t="array" ref="U110">SUMPRODUCT((Tabelle1[Seite]=Q110)*Tabelle1[Score_Gewichtet])</f>
        <v>11.7</v>
      </c>
      <c r="V110" s="2"/>
    </row>
    <row r="111" spans="1:22" x14ac:dyDescent="0.2">
      <c r="A111" t="s">
        <v>126</v>
      </c>
      <c r="B111">
        <v>16</v>
      </c>
      <c r="C111" t="s">
        <v>18</v>
      </c>
      <c r="D111" t="s">
        <v>2</v>
      </c>
      <c r="E111" t="s">
        <v>54</v>
      </c>
      <c r="F111">
        <v>0</v>
      </c>
      <c r="G111">
        <v>0</v>
      </c>
      <c r="H111">
        <v>0</v>
      </c>
      <c r="I111">
        <v>1</v>
      </c>
      <c r="J111">
        <v>1</v>
      </c>
      <c r="K111">
        <v>0.1</v>
      </c>
      <c r="M111">
        <v>116</v>
      </c>
      <c r="N111">
        <f t="shared" si="5"/>
        <v>4</v>
      </c>
      <c r="O111">
        <f t="shared" si="4"/>
        <v>89</v>
      </c>
      <c r="Q111">
        <v>116</v>
      </c>
      <c r="R111" s="1">
        <f>Tabelle35[[#This Row],[Seite]]-0</f>
        <v>116</v>
      </c>
      <c r="S111">
        <v>4</v>
      </c>
      <c r="T111">
        <v>89</v>
      </c>
      <c r="U111" s="2" cm="1">
        <f t="array" ref="U111">SUMPRODUCT((Tabelle1[Seite]=Q111)*Tabelle1[Score_Gewichtet])</f>
        <v>1.7</v>
      </c>
      <c r="V111" s="2"/>
    </row>
    <row r="112" spans="1:22" x14ac:dyDescent="0.2">
      <c r="A112" t="s">
        <v>126</v>
      </c>
      <c r="B112">
        <v>16</v>
      </c>
      <c r="C112" t="s">
        <v>27</v>
      </c>
      <c r="D112" t="s">
        <v>2</v>
      </c>
      <c r="E112" t="s">
        <v>42</v>
      </c>
      <c r="F112">
        <v>0</v>
      </c>
      <c r="G112">
        <v>0</v>
      </c>
      <c r="H112">
        <v>1</v>
      </c>
      <c r="I112">
        <v>0</v>
      </c>
      <c r="J112">
        <v>1</v>
      </c>
      <c r="K112">
        <v>0.5</v>
      </c>
      <c r="M112">
        <v>117</v>
      </c>
      <c r="N112">
        <f t="shared" si="5"/>
        <v>6</v>
      </c>
      <c r="O112">
        <f t="shared" si="4"/>
        <v>58</v>
      </c>
      <c r="Q112">
        <v>117</v>
      </c>
      <c r="R112" s="1">
        <f>Tabelle35[[#This Row],[Seite]]-0</f>
        <v>117</v>
      </c>
      <c r="S112">
        <v>6</v>
      </c>
      <c r="T112">
        <v>58</v>
      </c>
      <c r="U112" s="2" cm="1">
        <f t="array" ref="U112">SUMPRODUCT((Tabelle1[Seite]=Q112)*Tabelle1[Score_Gewichtet])</f>
        <v>3.6000000000000005</v>
      </c>
      <c r="V112" s="2"/>
    </row>
    <row r="113" spans="1:22" x14ac:dyDescent="0.2">
      <c r="A113" t="s">
        <v>126</v>
      </c>
      <c r="B113">
        <v>17</v>
      </c>
      <c r="C113" t="s">
        <v>4</v>
      </c>
      <c r="D113" t="s">
        <v>6</v>
      </c>
      <c r="E113" t="s">
        <v>45</v>
      </c>
      <c r="F113">
        <v>0</v>
      </c>
      <c r="G113">
        <v>0</v>
      </c>
      <c r="H113">
        <v>0</v>
      </c>
      <c r="I113">
        <v>1</v>
      </c>
      <c r="J113">
        <v>1</v>
      </c>
      <c r="K113">
        <v>0.1</v>
      </c>
      <c r="M113">
        <v>120</v>
      </c>
      <c r="N113">
        <f t="shared" si="5"/>
        <v>4</v>
      </c>
      <c r="O113">
        <f t="shared" si="4"/>
        <v>89</v>
      </c>
      <c r="Q113">
        <v>120</v>
      </c>
      <c r="R113" s="1">
        <f>Tabelle35[[#This Row],[Seite]]-0</f>
        <v>120</v>
      </c>
      <c r="S113">
        <v>4</v>
      </c>
      <c r="T113">
        <v>89</v>
      </c>
      <c r="U113" s="2" cm="1">
        <f t="array" ref="U113">SUMPRODUCT((Tabelle1[Seite]=Q113)*Tabelle1[Score_Gewichtet])</f>
        <v>4.0999999999999996</v>
      </c>
      <c r="V113" s="2"/>
    </row>
    <row r="114" spans="1:22" x14ac:dyDescent="0.2">
      <c r="A114" t="s">
        <v>126</v>
      </c>
      <c r="B114">
        <v>17</v>
      </c>
      <c r="C114" t="s">
        <v>4</v>
      </c>
      <c r="D114" t="s">
        <v>6</v>
      </c>
      <c r="E114" t="s">
        <v>10</v>
      </c>
      <c r="F114">
        <v>0</v>
      </c>
      <c r="G114">
        <v>0</v>
      </c>
      <c r="H114">
        <v>5</v>
      </c>
      <c r="I114">
        <v>0</v>
      </c>
      <c r="J114">
        <v>5</v>
      </c>
      <c r="K114">
        <v>2.5</v>
      </c>
      <c r="M114">
        <v>121</v>
      </c>
      <c r="N114">
        <f t="shared" si="5"/>
        <v>4</v>
      </c>
      <c r="O114">
        <f t="shared" si="4"/>
        <v>89</v>
      </c>
      <c r="Q114">
        <v>121</v>
      </c>
      <c r="R114" s="4">
        <f>Tabelle35[[#This Row],[Seite]]-0</f>
        <v>121</v>
      </c>
      <c r="S114">
        <v>4</v>
      </c>
      <c r="T114">
        <v>89</v>
      </c>
      <c r="U114" s="2" cm="1">
        <f t="array" ref="U114">SUMPRODUCT((Tabelle1[Seite]=Q114)*Tabelle1[Score_Gewichtet])</f>
        <v>4.4000000000000004</v>
      </c>
      <c r="V114" s="2"/>
    </row>
    <row r="115" spans="1:22" x14ac:dyDescent="0.2">
      <c r="A115" t="s">
        <v>126</v>
      </c>
      <c r="B115">
        <v>17</v>
      </c>
      <c r="C115" t="s">
        <v>4</v>
      </c>
      <c r="D115" t="s">
        <v>2</v>
      </c>
      <c r="E115" t="s">
        <v>32</v>
      </c>
      <c r="F115">
        <v>1</v>
      </c>
      <c r="G115">
        <v>0</v>
      </c>
      <c r="H115">
        <v>0</v>
      </c>
      <c r="I115">
        <v>0</v>
      </c>
      <c r="J115">
        <v>1</v>
      </c>
      <c r="K115">
        <v>1</v>
      </c>
      <c r="M115">
        <v>122</v>
      </c>
      <c r="N115">
        <f t="shared" si="5"/>
        <v>6</v>
      </c>
      <c r="O115">
        <f t="shared" si="4"/>
        <v>58</v>
      </c>
      <c r="Q115">
        <v>122</v>
      </c>
      <c r="R115" s="4">
        <f>Tabelle35[[#This Row],[Seite]]-0</f>
        <v>122</v>
      </c>
      <c r="S115">
        <v>6</v>
      </c>
      <c r="T115">
        <v>58</v>
      </c>
      <c r="U115" s="2" cm="1">
        <f t="array" ref="U115">SUMPRODUCT((Tabelle1[Seite]=Q115)*Tabelle1[Score_Gewichtet])</f>
        <v>2.3000000000000003</v>
      </c>
      <c r="V115" s="2"/>
    </row>
    <row r="116" spans="1:22" x14ac:dyDescent="0.2">
      <c r="A116" t="s">
        <v>126</v>
      </c>
      <c r="B116">
        <v>17</v>
      </c>
      <c r="C116" t="s">
        <v>1</v>
      </c>
      <c r="D116" t="s">
        <v>33</v>
      </c>
      <c r="E116" t="s">
        <v>45</v>
      </c>
      <c r="F116">
        <v>0</v>
      </c>
      <c r="G116">
        <v>0</v>
      </c>
      <c r="H116">
        <v>0</v>
      </c>
      <c r="I116">
        <v>1</v>
      </c>
      <c r="J116">
        <v>1</v>
      </c>
      <c r="K116">
        <v>0.1</v>
      </c>
      <c r="M116">
        <v>123</v>
      </c>
      <c r="N116">
        <f t="shared" si="5"/>
        <v>6</v>
      </c>
      <c r="O116">
        <f t="shared" si="4"/>
        <v>58</v>
      </c>
      <c r="Q116">
        <v>123</v>
      </c>
      <c r="R116" s="4">
        <f>Tabelle35[[#This Row],[Seite]]-0</f>
        <v>123</v>
      </c>
      <c r="S116">
        <v>6</v>
      </c>
      <c r="T116">
        <v>58</v>
      </c>
      <c r="U116" s="2" cm="1">
        <f t="array" ref="U116">SUMPRODUCT((Tabelle1[Seite]=Q116)*Tabelle1[Score_Gewichtet])</f>
        <v>6.6</v>
      </c>
      <c r="V116" s="2"/>
    </row>
    <row r="117" spans="1:22" x14ac:dyDescent="0.2">
      <c r="A117" t="s">
        <v>126</v>
      </c>
      <c r="B117">
        <v>17</v>
      </c>
      <c r="C117" t="s">
        <v>18</v>
      </c>
      <c r="D117" t="s">
        <v>6</v>
      </c>
      <c r="E117" t="s">
        <v>39</v>
      </c>
      <c r="F117">
        <v>0</v>
      </c>
      <c r="G117">
        <v>0</v>
      </c>
      <c r="H117">
        <v>0</v>
      </c>
      <c r="I117">
        <v>3</v>
      </c>
      <c r="J117">
        <v>3</v>
      </c>
      <c r="K117">
        <v>0.3</v>
      </c>
      <c r="M117">
        <v>124</v>
      </c>
      <c r="N117">
        <f t="shared" si="5"/>
        <v>11</v>
      </c>
      <c r="O117">
        <f t="shared" si="4"/>
        <v>16</v>
      </c>
      <c r="Q117">
        <v>124</v>
      </c>
      <c r="R117" s="4">
        <f>Tabelle35[[#This Row],[Seite]]-0</f>
        <v>124</v>
      </c>
      <c r="S117">
        <v>11</v>
      </c>
      <c r="T117">
        <v>16</v>
      </c>
      <c r="U117" s="2" cm="1">
        <f t="array" ref="U117">SUMPRODUCT((Tabelle1[Seite]=Q117)*Tabelle1[Score_Gewichtet])</f>
        <v>10.55</v>
      </c>
      <c r="V117" s="2"/>
    </row>
    <row r="118" spans="1:22" x14ac:dyDescent="0.2">
      <c r="A118" t="s">
        <v>126</v>
      </c>
      <c r="B118">
        <v>17</v>
      </c>
      <c r="C118" t="s">
        <v>18</v>
      </c>
      <c r="D118" t="s">
        <v>2</v>
      </c>
      <c r="E118" t="s">
        <v>54</v>
      </c>
      <c r="F118">
        <v>0</v>
      </c>
      <c r="G118">
        <v>0</v>
      </c>
      <c r="H118">
        <v>0</v>
      </c>
      <c r="I118">
        <v>1</v>
      </c>
      <c r="J118">
        <v>1</v>
      </c>
      <c r="K118">
        <v>0.1</v>
      </c>
      <c r="M118">
        <v>125</v>
      </c>
      <c r="N118">
        <f t="shared" si="5"/>
        <v>8</v>
      </c>
      <c r="O118">
        <f t="shared" si="4"/>
        <v>35</v>
      </c>
      <c r="Q118">
        <v>125</v>
      </c>
      <c r="R118" s="4">
        <f>Tabelle35[[#This Row],[Seite]]-0</f>
        <v>125</v>
      </c>
      <c r="S118">
        <v>8</v>
      </c>
      <c r="T118">
        <v>35</v>
      </c>
      <c r="U118" s="2" cm="1">
        <f t="array" ref="U118">SUMPRODUCT((Tabelle1[Seite]=Q118)*Tabelle1[Score_Gewichtet])</f>
        <v>10.25</v>
      </c>
      <c r="V118" s="2"/>
    </row>
    <row r="119" spans="1:22" x14ac:dyDescent="0.2">
      <c r="A119" t="s">
        <v>126</v>
      </c>
      <c r="B119">
        <v>17</v>
      </c>
      <c r="C119" t="s">
        <v>23</v>
      </c>
      <c r="D119" t="s">
        <v>33</v>
      </c>
      <c r="E119" t="s">
        <v>34</v>
      </c>
      <c r="F119">
        <v>0</v>
      </c>
      <c r="G119">
        <v>1</v>
      </c>
      <c r="H119">
        <v>0</v>
      </c>
      <c r="I119">
        <v>0</v>
      </c>
      <c r="J119">
        <v>1</v>
      </c>
      <c r="K119">
        <v>0.75</v>
      </c>
      <c r="M119">
        <v>126</v>
      </c>
      <c r="N119">
        <f t="shared" si="5"/>
        <v>1</v>
      </c>
      <c r="O119">
        <f t="shared" si="4"/>
        <v>128</v>
      </c>
      <c r="Q119">
        <v>126</v>
      </c>
      <c r="R119" s="4">
        <f>Tabelle35[[#This Row],[Seite]]-0</f>
        <v>126</v>
      </c>
      <c r="S119">
        <v>1</v>
      </c>
      <c r="T119">
        <v>128</v>
      </c>
      <c r="U119" s="2" cm="1">
        <f t="array" ref="U119">SUMPRODUCT((Tabelle1[Seite]=Q119)*Tabelle1[Score_Gewichtet])</f>
        <v>1</v>
      </c>
      <c r="V119" s="2"/>
    </row>
    <row r="120" spans="1:22" x14ac:dyDescent="0.2">
      <c r="A120" t="s">
        <v>126</v>
      </c>
      <c r="B120">
        <v>17</v>
      </c>
      <c r="C120" t="s">
        <v>23</v>
      </c>
      <c r="D120" t="s">
        <v>33</v>
      </c>
      <c r="E120" t="s">
        <v>40</v>
      </c>
      <c r="F120">
        <v>0</v>
      </c>
      <c r="G120">
        <v>0</v>
      </c>
      <c r="H120">
        <v>1</v>
      </c>
      <c r="I120">
        <v>0</v>
      </c>
      <c r="J120">
        <v>1</v>
      </c>
      <c r="K120">
        <v>0.5</v>
      </c>
      <c r="M120">
        <v>127</v>
      </c>
      <c r="N120">
        <f t="shared" si="5"/>
        <v>6</v>
      </c>
      <c r="O120">
        <f t="shared" si="4"/>
        <v>58</v>
      </c>
      <c r="Q120">
        <v>127</v>
      </c>
      <c r="R120" s="4">
        <f>Tabelle35[[#This Row],[Seite]]-0</f>
        <v>127</v>
      </c>
      <c r="S120">
        <v>6</v>
      </c>
      <c r="T120">
        <v>58</v>
      </c>
      <c r="U120" s="2" cm="1">
        <f t="array" ref="U120">SUMPRODUCT((Tabelle1[Seite]=Q120)*Tabelle1[Score_Gewichtet])</f>
        <v>3.45</v>
      </c>
      <c r="V120" s="2"/>
    </row>
    <row r="121" spans="1:22" x14ac:dyDescent="0.2">
      <c r="A121" t="s">
        <v>126</v>
      </c>
      <c r="B121">
        <v>17</v>
      </c>
      <c r="C121" t="s">
        <v>23</v>
      </c>
      <c r="D121" t="s">
        <v>2</v>
      </c>
      <c r="E121" t="s">
        <v>10</v>
      </c>
      <c r="F121">
        <v>0</v>
      </c>
      <c r="G121">
        <v>0</v>
      </c>
      <c r="H121">
        <v>5</v>
      </c>
      <c r="I121">
        <v>0</v>
      </c>
      <c r="J121">
        <v>5</v>
      </c>
      <c r="K121">
        <v>2.5</v>
      </c>
      <c r="M121">
        <v>128</v>
      </c>
      <c r="N121">
        <f t="shared" si="5"/>
        <v>10</v>
      </c>
      <c r="O121">
        <f t="shared" si="4"/>
        <v>20</v>
      </c>
      <c r="Q121">
        <v>128</v>
      </c>
      <c r="R121" s="4">
        <f>Tabelle35[[#This Row],[Seite]]-0</f>
        <v>128</v>
      </c>
      <c r="S121">
        <v>10</v>
      </c>
      <c r="T121">
        <v>20</v>
      </c>
      <c r="U121" s="2" cm="1">
        <f t="array" ref="U121">SUMPRODUCT((Tabelle1[Seite]=Q121)*Tabelle1[Score_Gewichtet])</f>
        <v>13.049999999999999</v>
      </c>
      <c r="V121" s="2"/>
    </row>
    <row r="122" spans="1:22" x14ac:dyDescent="0.2">
      <c r="A122" t="s">
        <v>126</v>
      </c>
      <c r="B122">
        <v>17</v>
      </c>
      <c r="C122" t="s">
        <v>23</v>
      </c>
      <c r="D122" t="s">
        <v>6</v>
      </c>
      <c r="E122" t="s">
        <v>25</v>
      </c>
      <c r="F122">
        <v>0</v>
      </c>
      <c r="G122">
        <v>0</v>
      </c>
      <c r="H122">
        <v>5</v>
      </c>
      <c r="I122">
        <v>0</v>
      </c>
      <c r="J122">
        <v>5</v>
      </c>
      <c r="K122">
        <v>2.5</v>
      </c>
      <c r="M122">
        <v>129</v>
      </c>
      <c r="N122">
        <f t="shared" si="5"/>
        <v>9</v>
      </c>
      <c r="O122">
        <f t="shared" si="4"/>
        <v>24</v>
      </c>
      <c r="Q122">
        <v>129</v>
      </c>
      <c r="R122" s="4">
        <f>Tabelle35[[#This Row],[Seite]]-0</f>
        <v>129</v>
      </c>
      <c r="S122">
        <v>9</v>
      </c>
      <c r="T122">
        <v>24</v>
      </c>
      <c r="U122" s="2" cm="1">
        <f t="array" ref="U122">SUMPRODUCT((Tabelle1[Seite]=Q122)*Tabelle1[Score_Gewichtet])</f>
        <v>3.6500000000000004</v>
      </c>
      <c r="V122" s="2"/>
    </row>
    <row r="123" spans="1:22" x14ac:dyDescent="0.2">
      <c r="A123" t="s">
        <v>126</v>
      </c>
      <c r="B123">
        <v>17</v>
      </c>
      <c r="C123" t="s">
        <v>27</v>
      </c>
      <c r="D123" t="s">
        <v>6</v>
      </c>
      <c r="E123" t="s">
        <v>28</v>
      </c>
      <c r="F123">
        <v>0</v>
      </c>
      <c r="G123">
        <v>3</v>
      </c>
      <c r="H123">
        <v>0</v>
      </c>
      <c r="I123">
        <v>0</v>
      </c>
      <c r="J123">
        <v>3</v>
      </c>
      <c r="K123">
        <v>2.25</v>
      </c>
      <c r="M123">
        <v>131</v>
      </c>
      <c r="N123">
        <f t="shared" si="5"/>
        <v>5</v>
      </c>
      <c r="O123">
        <f t="shared" si="4"/>
        <v>74</v>
      </c>
      <c r="Q123">
        <v>131</v>
      </c>
      <c r="R123" s="4">
        <f>Tabelle35[[#This Row],[Seite]]-0</f>
        <v>131</v>
      </c>
      <c r="S123">
        <v>5</v>
      </c>
      <c r="T123">
        <v>74</v>
      </c>
      <c r="U123" s="2" cm="1">
        <f t="array" ref="U123">SUMPRODUCT((Tabelle1[Seite]=Q123)*Tabelle1[Score_Gewichtet])</f>
        <v>4.5</v>
      </c>
      <c r="V123" s="2"/>
    </row>
    <row r="124" spans="1:22" x14ac:dyDescent="0.2">
      <c r="A124" t="s">
        <v>126</v>
      </c>
      <c r="B124">
        <v>18</v>
      </c>
      <c r="C124" t="s">
        <v>18</v>
      </c>
      <c r="D124" t="s">
        <v>2</v>
      </c>
      <c r="E124" t="s">
        <v>54</v>
      </c>
      <c r="F124">
        <v>0</v>
      </c>
      <c r="G124">
        <v>0</v>
      </c>
      <c r="H124">
        <v>0</v>
      </c>
      <c r="I124">
        <v>1</v>
      </c>
      <c r="J124">
        <v>1</v>
      </c>
      <c r="K124">
        <v>0.1</v>
      </c>
      <c r="M124">
        <v>132</v>
      </c>
      <c r="N124">
        <f t="shared" si="5"/>
        <v>7</v>
      </c>
      <c r="O124">
        <f t="shared" si="4"/>
        <v>47</v>
      </c>
      <c r="Q124">
        <v>132</v>
      </c>
      <c r="R124" s="4">
        <f>Tabelle35[[#This Row],[Seite]]-0</f>
        <v>132</v>
      </c>
      <c r="S124">
        <v>7</v>
      </c>
      <c r="T124">
        <v>47</v>
      </c>
      <c r="U124" s="2" cm="1">
        <f t="array" ref="U124">SUMPRODUCT((Tabelle1[Seite]=Q124)*Tabelle1[Score_Gewichtet])</f>
        <v>5.1499999999999995</v>
      </c>
      <c r="V124" s="2"/>
    </row>
    <row r="125" spans="1:22" x14ac:dyDescent="0.2">
      <c r="A125" t="s">
        <v>126</v>
      </c>
      <c r="B125">
        <v>18</v>
      </c>
      <c r="C125" t="s">
        <v>27</v>
      </c>
      <c r="D125" t="s">
        <v>2</v>
      </c>
      <c r="E125" t="s">
        <v>42</v>
      </c>
      <c r="F125">
        <v>0</v>
      </c>
      <c r="G125">
        <v>0</v>
      </c>
      <c r="H125">
        <v>1</v>
      </c>
      <c r="I125">
        <v>0</v>
      </c>
      <c r="J125">
        <v>1</v>
      </c>
      <c r="K125">
        <v>0.5</v>
      </c>
      <c r="M125">
        <v>133</v>
      </c>
      <c r="N125">
        <f t="shared" si="5"/>
        <v>3</v>
      </c>
      <c r="O125">
        <f t="shared" si="4"/>
        <v>105</v>
      </c>
      <c r="Q125">
        <v>133</v>
      </c>
      <c r="R125" s="4">
        <f>Tabelle35[[#This Row],[Seite]]-0</f>
        <v>133</v>
      </c>
      <c r="S125">
        <v>3</v>
      </c>
      <c r="T125">
        <v>105</v>
      </c>
      <c r="U125" s="2" cm="1">
        <f t="array" ref="U125">SUMPRODUCT((Tabelle1[Seite]=Q125)*Tabelle1[Score_Gewichtet])</f>
        <v>1.5</v>
      </c>
      <c r="V125" s="2"/>
    </row>
    <row r="126" spans="1:22" x14ac:dyDescent="0.2">
      <c r="A126" t="s">
        <v>126</v>
      </c>
      <c r="B126">
        <v>19</v>
      </c>
      <c r="C126" t="s">
        <v>27</v>
      </c>
      <c r="D126" t="s">
        <v>2</v>
      </c>
      <c r="E126" t="s">
        <v>42</v>
      </c>
      <c r="F126">
        <v>0</v>
      </c>
      <c r="G126">
        <v>0</v>
      </c>
      <c r="H126">
        <v>1</v>
      </c>
      <c r="I126">
        <v>0</v>
      </c>
      <c r="J126">
        <v>1</v>
      </c>
      <c r="K126">
        <v>0.5</v>
      </c>
      <c r="M126">
        <v>134</v>
      </c>
      <c r="N126">
        <f t="shared" si="5"/>
        <v>6</v>
      </c>
      <c r="O126">
        <f t="shared" si="4"/>
        <v>58</v>
      </c>
      <c r="Q126">
        <v>134</v>
      </c>
      <c r="R126" s="4">
        <f>Tabelle35[[#This Row],[Seite]]-0</f>
        <v>134</v>
      </c>
      <c r="S126">
        <v>6</v>
      </c>
      <c r="T126">
        <v>58</v>
      </c>
      <c r="U126" s="2" cm="1">
        <f t="array" ref="U126">SUMPRODUCT((Tabelle1[Seite]=Q126)*Tabelle1[Score_Gewichtet])</f>
        <v>3.55</v>
      </c>
      <c r="V126" s="2"/>
    </row>
    <row r="127" spans="1:22" x14ac:dyDescent="0.2">
      <c r="A127" t="s">
        <v>126</v>
      </c>
      <c r="B127">
        <v>20</v>
      </c>
      <c r="C127" t="s">
        <v>4</v>
      </c>
      <c r="D127" t="s">
        <v>2</v>
      </c>
      <c r="E127" t="s">
        <v>43</v>
      </c>
      <c r="F127">
        <v>0</v>
      </c>
      <c r="G127">
        <v>4</v>
      </c>
      <c r="H127">
        <v>1</v>
      </c>
      <c r="I127">
        <v>0</v>
      </c>
      <c r="J127">
        <v>5</v>
      </c>
      <c r="K127">
        <v>3.5</v>
      </c>
      <c r="M127">
        <v>135</v>
      </c>
      <c r="N127">
        <f t="shared" si="5"/>
        <v>8</v>
      </c>
      <c r="O127">
        <f t="shared" si="4"/>
        <v>35</v>
      </c>
      <c r="Q127">
        <v>135</v>
      </c>
      <c r="R127" s="4">
        <f>Tabelle35[[#This Row],[Seite]]-0</f>
        <v>135</v>
      </c>
      <c r="S127">
        <v>8</v>
      </c>
      <c r="T127">
        <v>35</v>
      </c>
      <c r="U127" s="2" cm="1">
        <f t="array" ref="U127">SUMPRODUCT((Tabelle1[Seite]=Q127)*Tabelle1[Score_Gewichtet])</f>
        <v>2.2000000000000002</v>
      </c>
      <c r="V127" s="2"/>
    </row>
    <row r="128" spans="1:22" x14ac:dyDescent="0.2">
      <c r="A128" t="s">
        <v>126</v>
      </c>
      <c r="B128">
        <v>20</v>
      </c>
      <c r="C128" t="s">
        <v>4</v>
      </c>
      <c r="D128" t="s">
        <v>2</v>
      </c>
      <c r="E128" t="s">
        <v>9</v>
      </c>
      <c r="F128">
        <v>0</v>
      </c>
      <c r="G128">
        <v>0</v>
      </c>
      <c r="H128">
        <v>2</v>
      </c>
      <c r="I128">
        <v>1</v>
      </c>
      <c r="J128">
        <v>3</v>
      </c>
      <c r="K128">
        <v>1.2</v>
      </c>
      <c r="M128">
        <v>136</v>
      </c>
      <c r="N128">
        <f t="shared" si="5"/>
        <v>8</v>
      </c>
      <c r="O128">
        <f t="shared" si="4"/>
        <v>35</v>
      </c>
      <c r="Q128">
        <v>136</v>
      </c>
      <c r="R128" s="4">
        <f>Tabelle35[[#This Row],[Seite]]-0</f>
        <v>136</v>
      </c>
      <c r="U128" s="2"/>
      <c r="V128" s="2" t="s">
        <v>149</v>
      </c>
    </row>
    <row r="129" spans="1:24" x14ac:dyDescent="0.2">
      <c r="A129" t="s">
        <v>126</v>
      </c>
      <c r="B129">
        <v>20</v>
      </c>
      <c r="C129" t="s">
        <v>4</v>
      </c>
      <c r="D129" t="s">
        <v>2</v>
      </c>
      <c r="E129" t="s">
        <v>53</v>
      </c>
      <c r="F129">
        <v>0</v>
      </c>
      <c r="G129">
        <v>1</v>
      </c>
      <c r="H129">
        <v>0</v>
      </c>
      <c r="I129">
        <v>0</v>
      </c>
      <c r="J129">
        <v>1</v>
      </c>
      <c r="K129">
        <v>0.75</v>
      </c>
      <c r="M129">
        <v>137</v>
      </c>
      <c r="N129">
        <f t="shared" si="5"/>
        <v>14</v>
      </c>
      <c r="O129">
        <f t="shared" si="4"/>
        <v>5</v>
      </c>
      <c r="Q129">
        <v>137</v>
      </c>
      <c r="R129" s="4">
        <f>Tabelle35[[#This Row],[Seite]]-0</f>
        <v>137</v>
      </c>
      <c r="U129" s="2"/>
      <c r="V129" s="2" t="s">
        <v>149</v>
      </c>
    </row>
    <row r="130" spans="1:24" x14ac:dyDescent="0.2">
      <c r="A130" t="s">
        <v>126</v>
      </c>
      <c r="B130">
        <v>20</v>
      </c>
      <c r="C130" t="s">
        <v>4</v>
      </c>
      <c r="D130" t="s">
        <v>2</v>
      </c>
      <c r="E130" t="s">
        <v>32</v>
      </c>
      <c r="F130">
        <v>0</v>
      </c>
      <c r="G130">
        <v>0</v>
      </c>
      <c r="H130">
        <v>0</v>
      </c>
      <c r="I130">
        <v>1</v>
      </c>
      <c r="J130">
        <v>1</v>
      </c>
      <c r="K130">
        <v>0.1</v>
      </c>
      <c r="M130">
        <v>138</v>
      </c>
      <c r="N130">
        <f t="shared" ref="N130:N161" si="6">COUNTIF(B$2:B$867, M130)</f>
        <v>9</v>
      </c>
      <c r="O130">
        <f t="shared" si="4"/>
        <v>24</v>
      </c>
      <c r="Q130">
        <v>138</v>
      </c>
      <c r="R130" s="4">
        <f>Tabelle35[[#This Row],[Seite]]-0</f>
        <v>138</v>
      </c>
      <c r="U130" s="2"/>
      <c r="V130" s="2" t="s">
        <v>149</v>
      </c>
    </row>
    <row r="131" spans="1:24" x14ac:dyDescent="0.2">
      <c r="A131" t="s">
        <v>126</v>
      </c>
      <c r="B131">
        <v>20</v>
      </c>
      <c r="C131" t="s">
        <v>15</v>
      </c>
      <c r="D131" t="s">
        <v>2</v>
      </c>
      <c r="E131" t="s">
        <v>38</v>
      </c>
      <c r="F131">
        <v>0</v>
      </c>
      <c r="G131">
        <v>0</v>
      </c>
      <c r="H131">
        <v>1</v>
      </c>
      <c r="I131">
        <v>0</v>
      </c>
      <c r="J131">
        <v>1</v>
      </c>
      <c r="K131">
        <v>0.5</v>
      </c>
      <c r="M131">
        <v>139</v>
      </c>
      <c r="N131">
        <f t="shared" si="6"/>
        <v>12</v>
      </c>
      <c r="O131">
        <f t="shared" ref="O131:O132" si="7">RANK(N131, $N$2:$N$132)</f>
        <v>10</v>
      </c>
      <c r="Q131">
        <v>139</v>
      </c>
      <c r="R131" s="4">
        <f>Tabelle35[[#This Row],[Seite]]-0</f>
        <v>139</v>
      </c>
      <c r="U131" s="2"/>
      <c r="V131" s="2" t="s">
        <v>149</v>
      </c>
    </row>
    <row r="132" spans="1:24" x14ac:dyDescent="0.2">
      <c r="A132" t="s">
        <v>126</v>
      </c>
      <c r="B132">
        <v>20</v>
      </c>
      <c r="C132" t="s">
        <v>15</v>
      </c>
      <c r="D132" t="s">
        <v>2</v>
      </c>
      <c r="E132" t="s">
        <v>68</v>
      </c>
      <c r="F132">
        <v>0</v>
      </c>
      <c r="G132">
        <v>0</v>
      </c>
      <c r="H132">
        <v>1</v>
      </c>
      <c r="I132">
        <v>0</v>
      </c>
      <c r="J132">
        <v>1</v>
      </c>
      <c r="K132">
        <v>0.5</v>
      </c>
      <c r="M132">
        <v>140</v>
      </c>
      <c r="N132">
        <f t="shared" si="6"/>
        <v>9</v>
      </c>
      <c r="O132">
        <f t="shared" si="7"/>
        <v>24</v>
      </c>
      <c r="Q132">
        <v>140</v>
      </c>
      <c r="R132" s="4">
        <f>Tabelle35[[#This Row],[Seite]]-0</f>
        <v>140</v>
      </c>
      <c r="U132" s="2"/>
      <c r="V132" s="2" t="s">
        <v>149</v>
      </c>
    </row>
    <row r="133" spans="1:24" x14ac:dyDescent="0.2">
      <c r="A133" t="s">
        <v>126</v>
      </c>
      <c r="B133">
        <v>20</v>
      </c>
      <c r="C133" t="s">
        <v>18</v>
      </c>
      <c r="D133" t="s">
        <v>2</v>
      </c>
      <c r="E133" t="s">
        <v>21</v>
      </c>
      <c r="F133">
        <v>0</v>
      </c>
      <c r="G133">
        <v>0</v>
      </c>
      <c r="H133">
        <v>0</v>
      </c>
      <c r="I133">
        <v>2</v>
      </c>
      <c r="J133">
        <v>2</v>
      </c>
      <c r="K133">
        <v>0.2</v>
      </c>
      <c r="R133" s="4"/>
      <c r="U133" s="2"/>
      <c r="V133" s="2"/>
    </row>
    <row r="134" spans="1:24" x14ac:dyDescent="0.2">
      <c r="A134" t="s">
        <v>126</v>
      </c>
      <c r="B134">
        <v>20</v>
      </c>
      <c r="C134" t="s">
        <v>18</v>
      </c>
      <c r="D134" t="s">
        <v>2</v>
      </c>
      <c r="E134" t="s">
        <v>54</v>
      </c>
      <c r="F134">
        <v>0</v>
      </c>
      <c r="G134">
        <v>0</v>
      </c>
      <c r="H134">
        <v>0</v>
      </c>
      <c r="I134">
        <v>1</v>
      </c>
      <c r="J134">
        <v>1</v>
      </c>
      <c r="K134">
        <v>0.1</v>
      </c>
      <c r="R134" s="4"/>
      <c r="U134" s="2"/>
      <c r="V134" s="2"/>
    </row>
    <row r="135" spans="1:24" x14ac:dyDescent="0.2">
      <c r="A135" t="s">
        <v>126</v>
      </c>
      <c r="B135">
        <v>20</v>
      </c>
      <c r="C135" t="s">
        <v>23</v>
      </c>
      <c r="D135" t="s">
        <v>33</v>
      </c>
      <c r="E135" t="s">
        <v>34</v>
      </c>
      <c r="F135">
        <v>0</v>
      </c>
      <c r="G135">
        <v>0</v>
      </c>
      <c r="H135">
        <v>1</v>
      </c>
      <c r="I135">
        <v>0</v>
      </c>
      <c r="J135">
        <v>1</v>
      </c>
      <c r="K135">
        <v>0.6</v>
      </c>
      <c r="R135" s="4"/>
      <c r="U135" s="2"/>
      <c r="V135" s="2"/>
    </row>
    <row r="136" spans="1:24" x14ac:dyDescent="0.2">
      <c r="A136" t="s">
        <v>126</v>
      </c>
      <c r="B136">
        <v>20</v>
      </c>
      <c r="C136" t="s">
        <v>23</v>
      </c>
      <c r="D136" t="s">
        <v>2</v>
      </c>
      <c r="E136" t="s">
        <v>35</v>
      </c>
      <c r="F136">
        <v>0</v>
      </c>
      <c r="G136">
        <v>0</v>
      </c>
      <c r="H136">
        <v>0</v>
      </c>
      <c r="I136">
        <v>1</v>
      </c>
      <c r="J136">
        <v>1</v>
      </c>
      <c r="K136">
        <v>0.1</v>
      </c>
      <c r="R136" s="4"/>
      <c r="U136">
        <v>3</v>
      </c>
      <c r="V136" t="s">
        <v>33</v>
      </c>
      <c r="W136">
        <f>COUNTIF(Tabelle35[Stufe BNE-Bezug],U136)</f>
        <v>0</v>
      </c>
      <c r="X136" s="3">
        <f>W136/W$140</f>
        <v>0</v>
      </c>
    </row>
    <row r="137" spans="1:24" x14ac:dyDescent="0.2">
      <c r="A137" t="s">
        <v>126</v>
      </c>
      <c r="B137">
        <v>20</v>
      </c>
      <c r="C137" t="s">
        <v>27</v>
      </c>
      <c r="D137" t="s">
        <v>2</v>
      </c>
      <c r="E137" t="s">
        <v>73</v>
      </c>
      <c r="F137">
        <v>0</v>
      </c>
      <c r="G137">
        <v>0</v>
      </c>
      <c r="H137">
        <v>0</v>
      </c>
      <c r="I137">
        <v>1</v>
      </c>
      <c r="J137">
        <v>1</v>
      </c>
      <c r="K137">
        <v>0.1</v>
      </c>
      <c r="R137" s="4"/>
      <c r="U137">
        <v>2</v>
      </c>
      <c r="V137" t="s">
        <v>6</v>
      </c>
      <c r="W137">
        <f>COUNTIF(Tabelle35[Stufe BNE-Bezug],U137)</f>
        <v>2</v>
      </c>
      <c r="X137" s="3">
        <f>W137/W$140</f>
        <v>1</v>
      </c>
    </row>
    <row r="138" spans="1:24" x14ac:dyDescent="0.2">
      <c r="A138" t="s">
        <v>126</v>
      </c>
      <c r="B138">
        <v>21</v>
      </c>
      <c r="C138" t="s">
        <v>4</v>
      </c>
      <c r="D138" t="s">
        <v>2</v>
      </c>
      <c r="E138" t="s">
        <v>32</v>
      </c>
      <c r="F138">
        <v>0</v>
      </c>
      <c r="G138">
        <v>1</v>
      </c>
      <c r="H138">
        <v>0</v>
      </c>
      <c r="I138">
        <v>0</v>
      </c>
      <c r="J138">
        <v>1</v>
      </c>
      <c r="K138">
        <v>0.75</v>
      </c>
      <c r="R138" s="4"/>
      <c r="U138">
        <v>1</v>
      </c>
      <c r="V138" t="s">
        <v>2</v>
      </c>
      <c r="W138">
        <f>COUNTIF(Tabelle35[Stufe BNE-Bezug],U138)</f>
        <v>0</v>
      </c>
      <c r="X138" s="3">
        <f>W138/W$140</f>
        <v>0</v>
      </c>
    </row>
    <row r="139" spans="1:24" x14ac:dyDescent="0.2">
      <c r="A139" t="s">
        <v>126</v>
      </c>
      <c r="B139">
        <v>21</v>
      </c>
      <c r="C139" t="s">
        <v>15</v>
      </c>
      <c r="D139" t="s">
        <v>2</v>
      </c>
      <c r="E139" t="s">
        <v>16</v>
      </c>
      <c r="F139">
        <v>0</v>
      </c>
      <c r="G139">
        <v>0</v>
      </c>
      <c r="H139">
        <v>0</v>
      </c>
      <c r="I139">
        <v>1</v>
      </c>
      <c r="J139">
        <v>1</v>
      </c>
      <c r="K139">
        <v>0.1</v>
      </c>
      <c r="R139" s="4"/>
      <c r="U139">
        <v>0</v>
      </c>
      <c r="V139" t="s">
        <v>144</v>
      </c>
      <c r="W139">
        <f>COUNTIF(Tabelle35[Stufe BNE-Bezug],U139)</f>
        <v>0</v>
      </c>
      <c r="X139" s="3">
        <f>W139/W$140</f>
        <v>0</v>
      </c>
    </row>
    <row r="140" spans="1:24" x14ac:dyDescent="0.2">
      <c r="A140" t="s">
        <v>126</v>
      </c>
      <c r="B140">
        <v>21</v>
      </c>
      <c r="C140" t="s">
        <v>18</v>
      </c>
      <c r="D140" t="s">
        <v>6</v>
      </c>
      <c r="E140" t="s">
        <v>19</v>
      </c>
      <c r="F140">
        <v>0</v>
      </c>
      <c r="G140">
        <v>0</v>
      </c>
      <c r="H140">
        <v>1</v>
      </c>
      <c r="I140">
        <v>0</v>
      </c>
      <c r="J140">
        <v>1</v>
      </c>
      <c r="K140">
        <v>0.5</v>
      </c>
      <c r="V140" t="s">
        <v>145</v>
      </c>
      <c r="W140">
        <f>SUM(W136:W139)</f>
        <v>2</v>
      </c>
    </row>
    <row r="141" spans="1:24" x14ac:dyDescent="0.2">
      <c r="A141" t="s">
        <v>126</v>
      </c>
      <c r="B141">
        <v>21</v>
      </c>
      <c r="C141" t="s">
        <v>18</v>
      </c>
      <c r="D141" t="s">
        <v>6</v>
      </c>
      <c r="E141" t="s">
        <v>39</v>
      </c>
      <c r="F141">
        <v>0</v>
      </c>
      <c r="G141">
        <v>0</v>
      </c>
      <c r="H141">
        <v>0</v>
      </c>
      <c r="I141">
        <v>1</v>
      </c>
      <c r="J141">
        <v>1</v>
      </c>
      <c r="K141">
        <v>0.1</v>
      </c>
    </row>
    <row r="142" spans="1:24" x14ac:dyDescent="0.2">
      <c r="A142" t="s">
        <v>126</v>
      </c>
      <c r="B142">
        <v>21</v>
      </c>
      <c r="C142" t="s">
        <v>23</v>
      </c>
      <c r="D142" t="s">
        <v>33</v>
      </c>
      <c r="E142" t="s">
        <v>34</v>
      </c>
      <c r="F142">
        <v>0</v>
      </c>
      <c r="G142">
        <v>1</v>
      </c>
      <c r="H142">
        <v>0</v>
      </c>
      <c r="I142">
        <v>0</v>
      </c>
      <c r="J142">
        <v>1</v>
      </c>
      <c r="K142">
        <v>0.75</v>
      </c>
    </row>
    <row r="143" spans="1:24" x14ac:dyDescent="0.2">
      <c r="A143" t="s">
        <v>126</v>
      </c>
      <c r="B143">
        <v>21</v>
      </c>
      <c r="C143" t="s">
        <v>27</v>
      </c>
      <c r="D143" t="s">
        <v>6</v>
      </c>
      <c r="E143" t="s">
        <v>55</v>
      </c>
      <c r="F143">
        <v>0</v>
      </c>
      <c r="G143">
        <v>0</v>
      </c>
      <c r="H143">
        <v>0</v>
      </c>
      <c r="I143">
        <v>3</v>
      </c>
      <c r="J143">
        <v>3</v>
      </c>
      <c r="K143">
        <v>0.3</v>
      </c>
    </row>
    <row r="144" spans="1:24" x14ac:dyDescent="0.2">
      <c r="A144" t="s">
        <v>126</v>
      </c>
      <c r="B144">
        <v>22</v>
      </c>
      <c r="C144" t="s">
        <v>4</v>
      </c>
      <c r="D144" t="s">
        <v>33</v>
      </c>
      <c r="E144" t="s">
        <v>36</v>
      </c>
      <c r="F144">
        <v>1</v>
      </c>
      <c r="G144">
        <v>0</v>
      </c>
      <c r="H144">
        <v>0</v>
      </c>
      <c r="I144">
        <v>0</v>
      </c>
      <c r="J144">
        <v>1</v>
      </c>
      <c r="K144">
        <v>1</v>
      </c>
    </row>
    <row r="145" spans="1:11" x14ac:dyDescent="0.2">
      <c r="A145" t="s">
        <v>126</v>
      </c>
      <c r="B145">
        <v>22</v>
      </c>
      <c r="C145" t="s">
        <v>11</v>
      </c>
      <c r="D145" t="s">
        <v>2</v>
      </c>
      <c r="E145" t="s">
        <v>76</v>
      </c>
      <c r="F145">
        <v>0</v>
      </c>
      <c r="G145">
        <v>1</v>
      </c>
      <c r="H145">
        <v>0</v>
      </c>
      <c r="I145">
        <v>0</v>
      </c>
      <c r="J145">
        <v>1</v>
      </c>
      <c r="K145">
        <v>0.75</v>
      </c>
    </row>
    <row r="146" spans="1:11" x14ac:dyDescent="0.2">
      <c r="A146" t="s">
        <v>126</v>
      </c>
      <c r="B146">
        <v>23</v>
      </c>
      <c r="C146" t="s">
        <v>15</v>
      </c>
      <c r="D146" t="s">
        <v>6</v>
      </c>
      <c r="E146" t="s">
        <v>17</v>
      </c>
      <c r="F146">
        <v>0</v>
      </c>
      <c r="G146">
        <v>0</v>
      </c>
      <c r="H146">
        <v>1</v>
      </c>
      <c r="I146">
        <v>0</v>
      </c>
      <c r="J146">
        <v>1</v>
      </c>
      <c r="K146">
        <v>0.6</v>
      </c>
    </row>
    <row r="147" spans="1:11" x14ac:dyDescent="0.2">
      <c r="A147" t="s">
        <v>126</v>
      </c>
      <c r="B147">
        <v>23</v>
      </c>
      <c r="C147" t="s">
        <v>18</v>
      </c>
      <c r="D147" t="s">
        <v>2</v>
      </c>
      <c r="E147" t="s">
        <v>54</v>
      </c>
      <c r="F147">
        <v>0</v>
      </c>
      <c r="G147">
        <v>0</v>
      </c>
      <c r="H147">
        <v>0</v>
      </c>
      <c r="I147">
        <v>3</v>
      </c>
      <c r="J147">
        <v>3</v>
      </c>
      <c r="K147">
        <v>0.3</v>
      </c>
    </row>
    <row r="148" spans="1:11" x14ac:dyDescent="0.2">
      <c r="A148" t="s">
        <v>126</v>
      </c>
      <c r="B148">
        <v>23</v>
      </c>
      <c r="C148" t="s">
        <v>23</v>
      </c>
      <c r="D148" t="s">
        <v>2</v>
      </c>
      <c r="E148" t="s">
        <v>26</v>
      </c>
      <c r="F148">
        <v>0</v>
      </c>
      <c r="G148">
        <v>0</v>
      </c>
      <c r="H148">
        <v>1</v>
      </c>
      <c r="I148">
        <v>0</v>
      </c>
      <c r="J148">
        <v>1</v>
      </c>
      <c r="K148">
        <v>0.5</v>
      </c>
    </row>
    <row r="149" spans="1:11" x14ac:dyDescent="0.2">
      <c r="A149" t="s">
        <v>126</v>
      </c>
      <c r="B149">
        <v>24</v>
      </c>
      <c r="C149" t="s">
        <v>4</v>
      </c>
      <c r="D149" t="s">
        <v>2</v>
      </c>
      <c r="E149" t="s">
        <v>9</v>
      </c>
      <c r="F149">
        <v>0</v>
      </c>
      <c r="G149">
        <v>0</v>
      </c>
      <c r="H149">
        <v>2</v>
      </c>
      <c r="I149">
        <v>0</v>
      </c>
      <c r="J149">
        <v>2</v>
      </c>
      <c r="K149">
        <v>1</v>
      </c>
    </row>
    <row r="150" spans="1:11" x14ac:dyDescent="0.2">
      <c r="A150" t="s">
        <v>126</v>
      </c>
      <c r="B150">
        <v>24</v>
      </c>
      <c r="C150" t="s">
        <v>4</v>
      </c>
      <c r="D150" t="s">
        <v>2</v>
      </c>
      <c r="E150" t="s">
        <v>32</v>
      </c>
      <c r="F150">
        <v>0</v>
      </c>
      <c r="G150">
        <v>0</v>
      </c>
      <c r="H150">
        <v>0</v>
      </c>
      <c r="I150">
        <v>2</v>
      </c>
      <c r="J150">
        <v>2</v>
      </c>
      <c r="K150">
        <v>0.2</v>
      </c>
    </row>
    <row r="151" spans="1:11" x14ac:dyDescent="0.2">
      <c r="A151" t="s">
        <v>126</v>
      </c>
      <c r="B151">
        <v>24</v>
      </c>
      <c r="C151" t="s">
        <v>1</v>
      </c>
      <c r="D151" t="s">
        <v>2</v>
      </c>
      <c r="E151" t="s">
        <v>3</v>
      </c>
      <c r="F151">
        <v>0</v>
      </c>
      <c r="G151">
        <v>0</v>
      </c>
      <c r="H151">
        <v>0</v>
      </c>
      <c r="I151">
        <v>1</v>
      </c>
      <c r="J151">
        <v>1</v>
      </c>
      <c r="K151">
        <v>0.1</v>
      </c>
    </row>
    <row r="152" spans="1:11" x14ac:dyDescent="0.2">
      <c r="A152" t="s">
        <v>126</v>
      </c>
      <c r="B152">
        <v>24</v>
      </c>
      <c r="C152" t="s">
        <v>15</v>
      </c>
      <c r="D152" t="s">
        <v>2</v>
      </c>
      <c r="E152" t="s">
        <v>77</v>
      </c>
      <c r="F152">
        <v>0</v>
      </c>
      <c r="G152">
        <v>0</v>
      </c>
      <c r="H152">
        <v>2</v>
      </c>
      <c r="I152">
        <v>0</v>
      </c>
      <c r="J152">
        <v>2</v>
      </c>
      <c r="K152">
        <v>1.2</v>
      </c>
    </row>
    <row r="153" spans="1:11" x14ac:dyDescent="0.2">
      <c r="A153" t="s">
        <v>126</v>
      </c>
      <c r="B153">
        <v>24</v>
      </c>
      <c r="C153" t="s">
        <v>18</v>
      </c>
      <c r="D153" t="s">
        <v>6</v>
      </c>
      <c r="E153" t="s">
        <v>128</v>
      </c>
      <c r="F153">
        <v>0</v>
      </c>
      <c r="G153">
        <v>0</v>
      </c>
      <c r="H153">
        <v>1</v>
      </c>
      <c r="I153">
        <v>0</v>
      </c>
      <c r="J153">
        <v>1</v>
      </c>
      <c r="K153">
        <v>0.5</v>
      </c>
    </row>
    <row r="154" spans="1:11" x14ac:dyDescent="0.2">
      <c r="A154" t="s">
        <v>126</v>
      </c>
      <c r="B154">
        <v>24</v>
      </c>
      <c r="C154" t="s">
        <v>18</v>
      </c>
      <c r="D154" t="s">
        <v>2</v>
      </c>
      <c r="E154" t="s">
        <v>112</v>
      </c>
      <c r="F154">
        <v>0</v>
      </c>
      <c r="G154">
        <v>0</v>
      </c>
      <c r="H154">
        <v>0</v>
      </c>
      <c r="I154">
        <v>1</v>
      </c>
      <c r="J154">
        <v>1</v>
      </c>
      <c r="K154">
        <v>0.1</v>
      </c>
    </row>
    <row r="155" spans="1:11" x14ac:dyDescent="0.2">
      <c r="A155" t="s">
        <v>126</v>
      </c>
      <c r="B155">
        <v>24</v>
      </c>
      <c r="C155" t="s">
        <v>18</v>
      </c>
      <c r="D155" t="s">
        <v>6</v>
      </c>
      <c r="E155" t="s">
        <v>112</v>
      </c>
      <c r="F155">
        <v>0</v>
      </c>
      <c r="G155">
        <v>0</v>
      </c>
      <c r="H155">
        <v>0</v>
      </c>
      <c r="I155">
        <v>1</v>
      </c>
      <c r="J155">
        <v>1</v>
      </c>
      <c r="K155">
        <v>0.1</v>
      </c>
    </row>
    <row r="156" spans="1:11" x14ac:dyDescent="0.2">
      <c r="A156" t="s">
        <v>126</v>
      </c>
      <c r="B156">
        <v>24</v>
      </c>
      <c r="C156" t="s">
        <v>23</v>
      </c>
      <c r="D156" t="s">
        <v>33</v>
      </c>
      <c r="E156" t="s">
        <v>34</v>
      </c>
      <c r="F156">
        <v>0</v>
      </c>
      <c r="G156">
        <v>0</v>
      </c>
      <c r="H156">
        <v>1</v>
      </c>
      <c r="I156">
        <v>1</v>
      </c>
      <c r="J156">
        <v>2</v>
      </c>
      <c r="K156">
        <v>0.7</v>
      </c>
    </row>
    <row r="157" spans="1:11" x14ac:dyDescent="0.2">
      <c r="A157" t="s">
        <v>126</v>
      </c>
      <c r="B157">
        <v>25</v>
      </c>
      <c r="C157" t="s">
        <v>15</v>
      </c>
      <c r="D157" t="s">
        <v>2</v>
      </c>
      <c r="E157" t="s">
        <v>16</v>
      </c>
      <c r="F157">
        <v>0</v>
      </c>
      <c r="G157">
        <v>0</v>
      </c>
      <c r="H157">
        <v>0</v>
      </c>
      <c r="I157">
        <v>2</v>
      </c>
      <c r="J157">
        <v>2</v>
      </c>
      <c r="K157">
        <v>0.2</v>
      </c>
    </row>
    <row r="158" spans="1:11" x14ac:dyDescent="0.2">
      <c r="A158" t="s">
        <v>126</v>
      </c>
      <c r="B158">
        <v>25</v>
      </c>
      <c r="C158" t="s">
        <v>18</v>
      </c>
      <c r="D158" t="s">
        <v>6</v>
      </c>
      <c r="E158" t="s">
        <v>19</v>
      </c>
      <c r="F158">
        <v>0</v>
      </c>
      <c r="G158">
        <v>0</v>
      </c>
      <c r="H158">
        <v>2</v>
      </c>
      <c r="I158">
        <v>0</v>
      </c>
      <c r="J158">
        <v>2</v>
      </c>
      <c r="K158">
        <v>1</v>
      </c>
    </row>
    <row r="159" spans="1:11" x14ac:dyDescent="0.2">
      <c r="A159" t="s">
        <v>126</v>
      </c>
      <c r="B159">
        <v>25</v>
      </c>
      <c r="C159" t="s">
        <v>18</v>
      </c>
      <c r="D159" t="s">
        <v>2</v>
      </c>
      <c r="E159" t="s">
        <v>54</v>
      </c>
      <c r="F159">
        <v>0</v>
      </c>
      <c r="G159">
        <v>0</v>
      </c>
      <c r="H159">
        <v>0</v>
      </c>
      <c r="I159">
        <v>1</v>
      </c>
      <c r="J159">
        <v>1</v>
      </c>
      <c r="K159">
        <v>0.1</v>
      </c>
    </row>
    <row r="160" spans="1:11" x14ac:dyDescent="0.2">
      <c r="A160" t="s">
        <v>126</v>
      </c>
      <c r="B160">
        <v>26</v>
      </c>
      <c r="C160" t="s">
        <v>4</v>
      </c>
      <c r="D160" t="s">
        <v>33</v>
      </c>
      <c r="E160" t="s">
        <v>36</v>
      </c>
      <c r="F160">
        <v>0</v>
      </c>
      <c r="G160">
        <v>1</v>
      </c>
      <c r="H160">
        <v>0</v>
      </c>
      <c r="I160">
        <v>0</v>
      </c>
      <c r="J160">
        <v>1</v>
      </c>
      <c r="K160">
        <v>0.75</v>
      </c>
    </row>
    <row r="161" spans="1:11" x14ac:dyDescent="0.2">
      <c r="A161" t="s">
        <v>126</v>
      </c>
      <c r="B161">
        <v>26</v>
      </c>
      <c r="C161" t="s">
        <v>15</v>
      </c>
      <c r="D161" t="s">
        <v>2</v>
      </c>
      <c r="E161" t="s">
        <v>46</v>
      </c>
      <c r="F161">
        <v>1</v>
      </c>
      <c r="G161">
        <v>0</v>
      </c>
      <c r="H161">
        <v>0</v>
      </c>
      <c r="I161">
        <v>0</v>
      </c>
      <c r="J161">
        <v>1</v>
      </c>
      <c r="K161">
        <v>1</v>
      </c>
    </row>
    <row r="162" spans="1:11" x14ac:dyDescent="0.2">
      <c r="A162" t="s">
        <v>126</v>
      </c>
      <c r="B162">
        <v>26</v>
      </c>
      <c r="C162" t="s">
        <v>23</v>
      </c>
      <c r="D162" t="s">
        <v>2</v>
      </c>
      <c r="E162" t="s">
        <v>58</v>
      </c>
      <c r="F162">
        <v>0</v>
      </c>
      <c r="G162">
        <v>0</v>
      </c>
      <c r="H162">
        <v>1</v>
      </c>
      <c r="I162">
        <v>0</v>
      </c>
      <c r="J162">
        <v>1</v>
      </c>
      <c r="K162">
        <v>0.6</v>
      </c>
    </row>
    <row r="163" spans="1:11" x14ac:dyDescent="0.2">
      <c r="A163" t="s">
        <v>126</v>
      </c>
      <c r="B163">
        <v>27</v>
      </c>
      <c r="C163" t="s">
        <v>4</v>
      </c>
      <c r="D163" t="s">
        <v>33</v>
      </c>
      <c r="E163" t="s">
        <v>36</v>
      </c>
      <c r="F163">
        <v>0</v>
      </c>
      <c r="G163">
        <v>1</v>
      </c>
      <c r="H163">
        <v>0</v>
      </c>
      <c r="I163">
        <v>0</v>
      </c>
      <c r="J163">
        <v>1</v>
      </c>
      <c r="K163">
        <v>0.75</v>
      </c>
    </row>
    <row r="164" spans="1:11" x14ac:dyDescent="0.2">
      <c r="A164" t="s">
        <v>126</v>
      </c>
      <c r="B164">
        <v>27</v>
      </c>
      <c r="C164" t="s">
        <v>4</v>
      </c>
      <c r="D164" t="s">
        <v>6</v>
      </c>
      <c r="E164" t="s">
        <v>10</v>
      </c>
      <c r="F164">
        <v>0</v>
      </c>
      <c r="G164">
        <v>0</v>
      </c>
      <c r="H164">
        <v>1</v>
      </c>
      <c r="I164">
        <v>0</v>
      </c>
      <c r="J164">
        <v>1</v>
      </c>
      <c r="K164">
        <v>0.5</v>
      </c>
    </row>
    <row r="165" spans="1:11" x14ac:dyDescent="0.2">
      <c r="A165" t="s">
        <v>126</v>
      </c>
      <c r="B165">
        <v>27</v>
      </c>
      <c r="C165" t="s">
        <v>18</v>
      </c>
      <c r="D165" t="s">
        <v>2</v>
      </c>
      <c r="E165" t="s">
        <v>54</v>
      </c>
      <c r="F165">
        <v>0</v>
      </c>
      <c r="G165">
        <v>0</v>
      </c>
      <c r="H165">
        <v>0</v>
      </c>
      <c r="I165">
        <v>1</v>
      </c>
      <c r="J165">
        <v>1</v>
      </c>
      <c r="K165">
        <v>0.1</v>
      </c>
    </row>
    <row r="166" spans="1:11" x14ac:dyDescent="0.2">
      <c r="A166" t="s">
        <v>126</v>
      </c>
      <c r="B166">
        <v>27</v>
      </c>
      <c r="C166" t="s">
        <v>23</v>
      </c>
      <c r="D166" t="s">
        <v>2</v>
      </c>
      <c r="E166" t="s">
        <v>10</v>
      </c>
      <c r="F166">
        <v>0</v>
      </c>
      <c r="G166">
        <v>0</v>
      </c>
      <c r="H166">
        <v>1</v>
      </c>
      <c r="I166">
        <v>0</v>
      </c>
      <c r="J166">
        <v>1</v>
      </c>
      <c r="K166">
        <v>0.5</v>
      </c>
    </row>
    <row r="167" spans="1:11" x14ac:dyDescent="0.2">
      <c r="A167" t="s">
        <v>126</v>
      </c>
      <c r="B167">
        <v>27</v>
      </c>
      <c r="C167" t="s">
        <v>23</v>
      </c>
      <c r="D167" t="s">
        <v>6</v>
      </c>
      <c r="E167" t="s">
        <v>25</v>
      </c>
      <c r="F167">
        <v>0</v>
      </c>
      <c r="G167">
        <v>0</v>
      </c>
      <c r="H167">
        <v>1</v>
      </c>
      <c r="I167">
        <v>0</v>
      </c>
      <c r="J167">
        <v>1</v>
      </c>
      <c r="K167">
        <v>0.5</v>
      </c>
    </row>
    <row r="168" spans="1:11" x14ac:dyDescent="0.2">
      <c r="A168" t="s">
        <v>126</v>
      </c>
      <c r="B168">
        <v>28</v>
      </c>
      <c r="C168" t="s">
        <v>15</v>
      </c>
      <c r="D168" t="s">
        <v>2</v>
      </c>
      <c r="E168" t="s">
        <v>16</v>
      </c>
      <c r="F168">
        <v>0</v>
      </c>
      <c r="G168">
        <v>0</v>
      </c>
      <c r="H168">
        <v>0</v>
      </c>
      <c r="I168">
        <v>2</v>
      </c>
      <c r="J168">
        <v>2</v>
      </c>
      <c r="K168">
        <v>0.2</v>
      </c>
    </row>
    <row r="169" spans="1:11" x14ac:dyDescent="0.2">
      <c r="A169" t="s">
        <v>126</v>
      </c>
      <c r="B169">
        <v>28</v>
      </c>
      <c r="C169" t="s">
        <v>18</v>
      </c>
      <c r="D169" t="s">
        <v>6</v>
      </c>
      <c r="E169" t="s">
        <v>19</v>
      </c>
      <c r="F169">
        <v>0</v>
      </c>
      <c r="G169">
        <v>0</v>
      </c>
      <c r="H169">
        <v>1</v>
      </c>
      <c r="I169">
        <v>0</v>
      </c>
      <c r="J169">
        <v>1</v>
      </c>
      <c r="K169">
        <v>0.5</v>
      </c>
    </row>
    <row r="170" spans="1:11" x14ac:dyDescent="0.2">
      <c r="A170" t="s">
        <v>126</v>
      </c>
      <c r="B170">
        <v>28</v>
      </c>
      <c r="C170" t="s">
        <v>23</v>
      </c>
      <c r="D170" t="s">
        <v>2</v>
      </c>
      <c r="E170" t="s">
        <v>35</v>
      </c>
      <c r="F170">
        <v>0</v>
      </c>
      <c r="G170">
        <v>0</v>
      </c>
      <c r="H170">
        <v>0</v>
      </c>
      <c r="I170">
        <v>1</v>
      </c>
      <c r="J170">
        <v>1</v>
      </c>
      <c r="K170">
        <v>0.1</v>
      </c>
    </row>
    <row r="171" spans="1:11" x14ac:dyDescent="0.2">
      <c r="A171" t="s">
        <v>126</v>
      </c>
      <c r="B171">
        <v>28</v>
      </c>
      <c r="C171" t="s">
        <v>27</v>
      </c>
      <c r="D171" t="s">
        <v>2</v>
      </c>
      <c r="E171" t="s">
        <v>42</v>
      </c>
      <c r="F171">
        <v>0</v>
      </c>
      <c r="G171">
        <v>0</v>
      </c>
      <c r="H171">
        <v>0</v>
      </c>
      <c r="I171">
        <v>1</v>
      </c>
      <c r="J171">
        <v>1</v>
      </c>
      <c r="K171">
        <v>0.1</v>
      </c>
    </row>
    <row r="172" spans="1:11" x14ac:dyDescent="0.2">
      <c r="A172" t="s">
        <v>126</v>
      </c>
      <c r="B172">
        <v>29</v>
      </c>
      <c r="C172" t="s">
        <v>4</v>
      </c>
      <c r="D172" t="s">
        <v>2</v>
      </c>
      <c r="E172" t="s">
        <v>32</v>
      </c>
      <c r="F172">
        <v>2</v>
      </c>
      <c r="G172">
        <v>0</v>
      </c>
      <c r="H172">
        <v>0</v>
      </c>
      <c r="I172">
        <v>0</v>
      </c>
      <c r="J172">
        <v>2</v>
      </c>
      <c r="K172">
        <v>2</v>
      </c>
    </row>
    <row r="173" spans="1:11" x14ac:dyDescent="0.2">
      <c r="A173" t="s">
        <v>126</v>
      </c>
      <c r="B173">
        <v>29</v>
      </c>
      <c r="C173" t="s">
        <v>23</v>
      </c>
      <c r="D173" t="s">
        <v>33</v>
      </c>
      <c r="E173" t="s">
        <v>34</v>
      </c>
      <c r="F173">
        <v>0</v>
      </c>
      <c r="G173">
        <v>2</v>
      </c>
      <c r="H173">
        <v>0</v>
      </c>
      <c r="I173">
        <v>0</v>
      </c>
      <c r="J173">
        <v>2</v>
      </c>
      <c r="K173">
        <v>1.5</v>
      </c>
    </row>
    <row r="174" spans="1:11" x14ac:dyDescent="0.2">
      <c r="A174" t="s">
        <v>126</v>
      </c>
      <c r="B174">
        <v>30</v>
      </c>
      <c r="C174" t="s">
        <v>4</v>
      </c>
      <c r="D174" t="s">
        <v>33</v>
      </c>
      <c r="E174" t="s">
        <v>36</v>
      </c>
      <c r="F174">
        <v>0</v>
      </c>
      <c r="G174">
        <v>1</v>
      </c>
      <c r="H174">
        <v>0</v>
      </c>
      <c r="I174">
        <v>0</v>
      </c>
      <c r="J174">
        <v>1</v>
      </c>
      <c r="K174">
        <v>0.75</v>
      </c>
    </row>
    <row r="175" spans="1:11" x14ac:dyDescent="0.2">
      <c r="A175" t="s">
        <v>126</v>
      </c>
      <c r="B175">
        <v>30</v>
      </c>
      <c r="C175" t="s">
        <v>4</v>
      </c>
      <c r="D175" t="s">
        <v>6</v>
      </c>
      <c r="E175" t="s">
        <v>45</v>
      </c>
      <c r="F175">
        <v>0</v>
      </c>
      <c r="G175">
        <v>0</v>
      </c>
      <c r="H175">
        <v>0</v>
      </c>
      <c r="I175">
        <v>2</v>
      </c>
      <c r="J175">
        <v>2</v>
      </c>
      <c r="K175">
        <v>0.2</v>
      </c>
    </row>
    <row r="176" spans="1:11" x14ac:dyDescent="0.2">
      <c r="A176" t="s">
        <v>126</v>
      </c>
      <c r="B176">
        <v>30</v>
      </c>
      <c r="C176" t="s">
        <v>4</v>
      </c>
      <c r="D176" t="s">
        <v>2</v>
      </c>
      <c r="E176" t="s">
        <v>32</v>
      </c>
      <c r="F176">
        <v>2</v>
      </c>
      <c r="G176">
        <v>0</v>
      </c>
      <c r="H176">
        <v>0</v>
      </c>
      <c r="I176">
        <v>0</v>
      </c>
      <c r="J176">
        <v>2</v>
      </c>
      <c r="K176">
        <v>2</v>
      </c>
    </row>
    <row r="177" spans="1:11" x14ac:dyDescent="0.2">
      <c r="A177" t="s">
        <v>126</v>
      </c>
      <c r="B177">
        <v>30</v>
      </c>
      <c r="C177" t="s">
        <v>1</v>
      </c>
      <c r="D177" t="s">
        <v>33</v>
      </c>
      <c r="E177" t="s">
        <v>45</v>
      </c>
      <c r="F177">
        <v>0</v>
      </c>
      <c r="G177">
        <v>0</v>
      </c>
      <c r="H177">
        <v>0</v>
      </c>
      <c r="I177">
        <v>2</v>
      </c>
      <c r="J177">
        <v>2</v>
      </c>
      <c r="K177">
        <v>0.2</v>
      </c>
    </row>
    <row r="178" spans="1:11" x14ac:dyDescent="0.2">
      <c r="A178" t="s">
        <v>126</v>
      </c>
      <c r="B178">
        <v>30</v>
      </c>
      <c r="C178" t="s">
        <v>15</v>
      </c>
      <c r="D178" t="s">
        <v>2</v>
      </c>
      <c r="E178" t="s">
        <v>46</v>
      </c>
      <c r="F178">
        <v>1</v>
      </c>
      <c r="G178">
        <v>0</v>
      </c>
      <c r="H178">
        <v>0</v>
      </c>
      <c r="I178">
        <v>0</v>
      </c>
      <c r="J178">
        <v>1</v>
      </c>
      <c r="K178">
        <v>1</v>
      </c>
    </row>
    <row r="179" spans="1:11" x14ac:dyDescent="0.2">
      <c r="A179" t="s">
        <v>126</v>
      </c>
      <c r="B179">
        <v>30</v>
      </c>
      <c r="C179" t="s">
        <v>23</v>
      </c>
      <c r="D179" t="s">
        <v>33</v>
      </c>
      <c r="E179" t="s">
        <v>34</v>
      </c>
      <c r="F179">
        <v>0</v>
      </c>
      <c r="G179">
        <v>2</v>
      </c>
      <c r="H179">
        <v>0</v>
      </c>
      <c r="I179">
        <v>0</v>
      </c>
      <c r="J179">
        <v>2</v>
      </c>
      <c r="K179">
        <v>1.5</v>
      </c>
    </row>
    <row r="180" spans="1:11" x14ac:dyDescent="0.2">
      <c r="A180" t="s">
        <v>126</v>
      </c>
      <c r="B180">
        <v>31</v>
      </c>
      <c r="C180" t="s">
        <v>4</v>
      </c>
      <c r="D180" t="s">
        <v>6</v>
      </c>
      <c r="E180" t="s">
        <v>45</v>
      </c>
      <c r="F180">
        <v>0</v>
      </c>
      <c r="G180">
        <v>1</v>
      </c>
      <c r="H180">
        <v>0</v>
      </c>
      <c r="I180">
        <v>0</v>
      </c>
      <c r="J180">
        <v>1</v>
      </c>
      <c r="K180">
        <v>0.75</v>
      </c>
    </row>
    <row r="181" spans="1:11" x14ac:dyDescent="0.2">
      <c r="A181" t="s">
        <v>126</v>
      </c>
      <c r="B181">
        <v>31</v>
      </c>
      <c r="C181" t="s">
        <v>1</v>
      </c>
      <c r="D181" t="s">
        <v>33</v>
      </c>
      <c r="E181" t="s">
        <v>45</v>
      </c>
      <c r="F181">
        <v>0</v>
      </c>
      <c r="G181">
        <v>1</v>
      </c>
      <c r="H181">
        <v>0</v>
      </c>
      <c r="I181">
        <v>0</v>
      </c>
      <c r="J181">
        <v>1</v>
      </c>
      <c r="K181">
        <v>0.75</v>
      </c>
    </row>
    <row r="182" spans="1:11" x14ac:dyDescent="0.2">
      <c r="A182" t="s">
        <v>126</v>
      </c>
      <c r="B182">
        <v>31</v>
      </c>
      <c r="C182" t="s">
        <v>15</v>
      </c>
      <c r="D182" t="s">
        <v>2</v>
      </c>
      <c r="E182" t="s">
        <v>16</v>
      </c>
      <c r="F182">
        <v>0</v>
      </c>
      <c r="G182">
        <v>0</v>
      </c>
      <c r="H182">
        <v>0</v>
      </c>
      <c r="I182">
        <v>3</v>
      </c>
      <c r="J182">
        <v>3</v>
      </c>
      <c r="K182">
        <v>0.3</v>
      </c>
    </row>
    <row r="183" spans="1:11" x14ac:dyDescent="0.2">
      <c r="A183" t="s">
        <v>126</v>
      </c>
      <c r="B183">
        <v>31</v>
      </c>
      <c r="C183" t="s">
        <v>18</v>
      </c>
      <c r="D183" t="s">
        <v>6</v>
      </c>
      <c r="E183" t="s">
        <v>19</v>
      </c>
      <c r="F183">
        <v>0</v>
      </c>
      <c r="G183">
        <v>0</v>
      </c>
      <c r="H183">
        <v>2</v>
      </c>
      <c r="I183">
        <v>1</v>
      </c>
      <c r="J183">
        <v>3</v>
      </c>
      <c r="K183">
        <v>1.1000000000000001</v>
      </c>
    </row>
    <row r="184" spans="1:11" x14ac:dyDescent="0.2">
      <c r="A184" t="s">
        <v>126</v>
      </c>
      <c r="B184">
        <v>31</v>
      </c>
      <c r="C184" t="s">
        <v>23</v>
      </c>
      <c r="D184" t="s">
        <v>2</v>
      </c>
      <c r="E184" t="s">
        <v>35</v>
      </c>
      <c r="F184">
        <v>0</v>
      </c>
      <c r="G184">
        <v>0</v>
      </c>
      <c r="H184">
        <v>0</v>
      </c>
      <c r="I184">
        <v>1</v>
      </c>
      <c r="J184">
        <v>1</v>
      </c>
      <c r="K184">
        <v>0.1</v>
      </c>
    </row>
    <row r="185" spans="1:11" x14ac:dyDescent="0.2">
      <c r="A185" t="s">
        <v>126</v>
      </c>
      <c r="B185">
        <v>32</v>
      </c>
      <c r="C185" t="s">
        <v>4</v>
      </c>
      <c r="D185" t="s">
        <v>33</v>
      </c>
      <c r="E185" t="s">
        <v>36</v>
      </c>
      <c r="F185">
        <v>0</v>
      </c>
      <c r="G185">
        <v>3</v>
      </c>
      <c r="H185">
        <v>0</v>
      </c>
      <c r="I185">
        <v>0</v>
      </c>
      <c r="J185">
        <v>3</v>
      </c>
      <c r="K185">
        <v>2.25</v>
      </c>
    </row>
    <row r="186" spans="1:11" x14ac:dyDescent="0.2">
      <c r="A186" t="s">
        <v>126</v>
      </c>
      <c r="B186">
        <v>32</v>
      </c>
      <c r="C186" t="s">
        <v>4</v>
      </c>
      <c r="D186" t="s">
        <v>2</v>
      </c>
      <c r="E186" t="s">
        <v>48</v>
      </c>
      <c r="F186">
        <v>0</v>
      </c>
      <c r="G186">
        <v>1</v>
      </c>
      <c r="H186">
        <v>0</v>
      </c>
      <c r="I186">
        <v>0</v>
      </c>
      <c r="J186">
        <v>1</v>
      </c>
      <c r="K186">
        <v>0.75</v>
      </c>
    </row>
    <row r="187" spans="1:11" x14ac:dyDescent="0.2">
      <c r="A187" t="s">
        <v>126</v>
      </c>
      <c r="B187">
        <v>32</v>
      </c>
      <c r="C187" t="s">
        <v>4</v>
      </c>
      <c r="D187" t="s">
        <v>2</v>
      </c>
      <c r="E187" t="s">
        <v>32</v>
      </c>
      <c r="F187">
        <v>1</v>
      </c>
      <c r="G187">
        <v>2</v>
      </c>
      <c r="H187">
        <v>0</v>
      </c>
      <c r="I187">
        <v>0</v>
      </c>
      <c r="J187">
        <v>3</v>
      </c>
      <c r="K187">
        <v>2.5</v>
      </c>
    </row>
    <row r="188" spans="1:11" x14ac:dyDescent="0.2">
      <c r="A188" t="s">
        <v>126</v>
      </c>
      <c r="B188">
        <v>32</v>
      </c>
      <c r="C188" t="s">
        <v>1</v>
      </c>
      <c r="D188" t="s">
        <v>2</v>
      </c>
      <c r="E188" t="s">
        <v>48</v>
      </c>
      <c r="F188">
        <v>0</v>
      </c>
      <c r="G188">
        <v>1</v>
      </c>
      <c r="H188">
        <v>0</v>
      </c>
      <c r="I188">
        <v>0</v>
      </c>
      <c r="J188">
        <v>1</v>
      </c>
      <c r="K188">
        <v>0.75</v>
      </c>
    </row>
    <row r="189" spans="1:11" x14ac:dyDescent="0.2">
      <c r="A189" t="s">
        <v>126</v>
      </c>
      <c r="B189">
        <v>32</v>
      </c>
      <c r="C189" t="s">
        <v>15</v>
      </c>
      <c r="D189" t="s">
        <v>2</v>
      </c>
      <c r="E189" t="s">
        <v>48</v>
      </c>
      <c r="F189">
        <v>0</v>
      </c>
      <c r="G189">
        <v>1</v>
      </c>
      <c r="H189">
        <v>0</v>
      </c>
      <c r="I189">
        <v>0</v>
      </c>
      <c r="J189">
        <v>1</v>
      </c>
      <c r="K189">
        <v>0.75</v>
      </c>
    </row>
    <row r="190" spans="1:11" x14ac:dyDescent="0.2">
      <c r="A190" t="s">
        <v>126</v>
      </c>
      <c r="B190">
        <v>32</v>
      </c>
      <c r="C190" t="s">
        <v>18</v>
      </c>
      <c r="D190" t="s">
        <v>2</v>
      </c>
      <c r="E190" t="s">
        <v>54</v>
      </c>
      <c r="F190">
        <v>0</v>
      </c>
      <c r="G190">
        <v>0</v>
      </c>
      <c r="H190">
        <v>0</v>
      </c>
      <c r="I190">
        <v>1</v>
      </c>
      <c r="J190">
        <v>1</v>
      </c>
      <c r="K190">
        <v>0.1</v>
      </c>
    </row>
    <row r="191" spans="1:11" x14ac:dyDescent="0.2">
      <c r="A191" t="s">
        <v>126</v>
      </c>
      <c r="B191">
        <v>32</v>
      </c>
      <c r="C191" t="s">
        <v>23</v>
      </c>
      <c r="D191" t="s">
        <v>33</v>
      </c>
      <c r="E191" t="s">
        <v>34</v>
      </c>
      <c r="F191">
        <v>0</v>
      </c>
      <c r="G191">
        <v>3</v>
      </c>
      <c r="H191">
        <v>0</v>
      </c>
      <c r="I191">
        <v>0</v>
      </c>
      <c r="J191">
        <v>3</v>
      </c>
      <c r="K191">
        <v>2.25</v>
      </c>
    </row>
    <row r="192" spans="1:11" x14ac:dyDescent="0.2">
      <c r="A192" t="s">
        <v>126</v>
      </c>
      <c r="B192">
        <v>32</v>
      </c>
      <c r="C192" t="s">
        <v>23</v>
      </c>
      <c r="D192" t="s">
        <v>2</v>
      </c>
      <c r="E192" t="s">
        <v>48</v>
      </c>
      <c r="F192">
        <v>0</v>
      </c>
      <c r="G192">
        <v>1</v>
      </c>
      <c r="H192">
        <v>0</v>
      </c>
      <c r="I192">
        <v>0</v>
      </c>
      <c r="J192">
        <v>1</v>
      </c>
      <c r="K192">
        <v>0.75</v>
      </c>
    </row>
    <row r="193" spans="1:11" x14ac:dyDescent="0.2">
      <c r="A193" t="s">
        <v>126</v>
      </c>
      <c r="B193">
        <v>32</v>
      </c>
      <c r="C193" t="s">
        <v>23</v>
      </c>
      <c r="D193" t="s">
        <v>33</v>
      </c>
      <c r="E193" t="s">
        <v>40</v>
      </c>
      <c r="F193">
        <v>0</v>
      </c>
      <c r="G193">
        <v>1</v>
      </c>
      <c r="H193">
        <v>1</v>
      </c>
      <c r="I193">
        <v>0</v>
      </c>
      <c r="J193">
        <v>2</v>
      </c>
      <c r="K193">
        <v>1.25</v>
      </c>
    </row>
    <row r="194" spans="1:11" x14ac:dyDescent="0.2">
      <c r="A194" t="s">
        <v>126</v>
      </c>
      <c r="B194">
        <v>32</v>
      </c>
      <c r="C194" t="s">
        <v>23</v>
      </c>
      <c r="D194" t="s">
        <v>2</v>
      </c>
      <c r="E194" t="s">
        <v>58</v>
      </c>
      <c r="F194">
        <v>0</v>
      </c>
      <c r="G194">
        <v>0</v>
      </c>
      <c r="H194">
        <v>0</v>
      </c>
      <c r="I194">
        <v>1</v>
      </c>
      <c r="J194">
        <v>1</v>
      </c>
      <c r="K194">
        <v>0.1</v>
      </c>
    </row>
    <row r="195" spans="1:11" x14ac:dyDescent="0.2">
      <c r="A195" t="s">
        <v>126</v>
      </c>
      <c r="B195">
        <v>33</v>
      </c>
      <c r="C195" t="s">
        <v>15</v>
      </c>
      <c r="D195" t="s">
        <v>2</v>
      </c>
      <c r="E195" t="s">
        <v>16</v>
      </c>
      <c r="F195">
        <v>0</v>
      </c>
      <c r="G195">
        <v>0</v>
      </c>
      <c r="H195">
        <v>0</v>
      </c>
      <c r="I195">
        <v>2</v>
      </c>
      <c r="J195">
        <v>2</v>
      </c>
      <c r="K195">
        <v>0.2</v>
      </c>
    </row>
    <row r="196" spans="1:11" x14ac:dyDescent="0.2">
      <c r="A196" t="s">
        <v>126</v>
      </c>
      <c r="B196">
        <v>33</v>
      </c>
      <c r="C196" t="s">
        <v>27</v>
      </c>
      <c r="D196" t="s">
        <v>2</v>
      </c>
      <c r="E196" t="s">
        <v>42</v>
      </c>
      <c r="F196">
        <v>0</v>
      </c>
      <c r="G196">
        <v>0</v>
      </c>
      <c r="H196">
        <v>1</v>
      </c>
      <c r="I196">
        <v>0</v>
      </c>
      <c r="J196">
        <v>1</v>
      </c>
      <c r="K196">
        <v>0.5</v>
      </c>
    </row>
    <row r="197" spans="1:11" x14ac:dyDescent="0.2">
      <c r="A197" t="s">
        <v>126</v>
      </c>
      <c r="B197">
        <v>34</v>
      </c>
      <c r="C197" t="s">
        <v>4</v>
      </c>
      <c r="D197" t="s">
        <v>33</v>
      </c>
      <c r="E197" t="s">
        <v>36</v>
      </c>
      <c r="F197">
        <v>1</v>
      </c>
      <c r="G197">
        <v>0</v>
      </c>
      <c r="H197">
        <v>0</v>
      </c>
      <c r="I197">
        <v>0</v>
      </c>
      <c r="J197">
        <v>1</v>
      </c>
      <c r="K197">
        <v>1</v>
      </c>
    </row>
    <row r="198" spans="1:11" x14ac:dyDescent="0.2">
      <c r="A198" t="s">
        <v>126</v>
      </c>
      <c r="B198">
        <v>34</v>
      </c>
      <c r="C198" t="s">
        <v>4</v>
      </c>
      <c r="D198" t="s">
        <v>6</v>
      </c>
      <c r="E198" t="s">
        <v>10</v>
      </c>
      <c r="F198">
        <v>0</v>
      </c>
      <c r="G198">
        <v>3</v>
      </c>
      <c r="H198">
        <v>1</v>
      </c>
      <c r="I198">
        <v>0</v>
      </c>
      <c r="J198">
        <v>4</v>
      </c>
      <c r="K198">
        <v>2.75</v>
      </c>
    </row>
    <row r="199" spans="1:11" x14ac:dyDescent="0.2">
      <c r="A199" t="s">
        <v>126</v>
      </c>
      <c r="B199">
        <v>34</v>
      </c>
      <c r="C199" t="s">
        <v>15</v>
      </c>
      <c r="D199" t="s">
        <v>2</v>
      </c>
      <c r="E199" t="s">
        <v>16</v>
      </c>
      <c r="F199">
        <v>0</v>
      </c>
      <c r="G199">
        <v>0</v>
      </c>
      <c r="H199">
        <v>0</v>
      </c>
      <c r="I199">
        <v>5</v>
      </c>
      <c r="J199">
        <v>5</v>
      </c>
      <c r="K199">
        <v>0.5</v>
      </c>
    </row>
    <row r="200" spans="1:11" x14ac:dyDescent="0.2">
      <c r="A200" t="s">
        <v>126</v>
      </c>
      <c r="B200">
        <v>34</v>
      </c>
      <c r="C200" t="s">
        <v>18</v>
      </c>
      <c r="D200" t="s">
        <v>6</v>
      </c>
      <c r="E200" t="s">
        <v>19</v>
      </c>
      <c r="F200">
        <v>0</v>
      </c>
      <c r="G200">
        <v>0</v>
      </c>
      <c r="H200">
        <v>2</v>
      </c>
      <c r="I200">
        <v>0</v>
      </c>
      <c r="J200">
        <v>2</v>
      </c>
      <c r="K200">
        <v>1</v>
      </c>
    </row>
    <row r="201" spans="1:11" x14ac:dyDescent="0.2">
      <c r="A201" t="s">
        <v>126</v>
      </c>
      <c r="B201">
        <v>34</v>
      </c>
      <c r="C201" t="s">
        <v>23</v>
      </c>
      <c r="D201" t="s">
        <v>2</v>
      </c>
      <c r="E201" t="s">
        <v>10</v>
      </c>
      <c r="F201">
        <v>0</v>
      </c>
      <c r="G201">
        <v>3</v>
      </c>
      <c r="H201">
        <v>1</v>
      </c>
      <c r="I201">
        <v>0</v>
      </c>
      <c r="J201">
        <v>4</v>
      </c>
      <c r="K201">
        <v>2.75</v>
      </c>
    </row>
    <row r="202" spans="1:11" x14ac:dyDescent="0.2">
      <c r="A202" t="s">
        <v>126</v>
      </c>
      <c r="B202">
        <v>34</v>
      </c>
      <c r="C202" t="s">
        <v>23</v>
      </c>
      <c r="D202" t="s">
        <v>6</v>
      </c>
      <c r="E202" t="s">
        <v>25</v>
      </c>
      <c r="F202">
        <v>0</v>
      </c>
      <c r="G202">
        <v>3</v>
      </c>
      <c r="H202">
        <v>1</v>
      </c>
      <c r="I202">
        <v>0</v>
      </c>
      <c r="J202">
        <v>4</v>
      </c>
      <c r="K202">
        <v>2.75</v>
      </c>
    </row>
    <row r="203" spans="1:11" x14ac:dyDescent="0.2">
      <c r="A203" t="s">
        <v>126</v>
      </c>
      <c r="B203">
        <v>35</v>
      </c>
      <c r="C203" t="s">
        <v>1</v>
      </c>
      <c r="D203" t="s">
        <v>2</v>
      </c>
      <c r="E203" t="s">
        <v>92</v>
      </c>
      <c r="F203">
        <v>0</v>
      </c>
      <c r="G203">
        <v>0</v>
      </c>
      <c r="H203">
        <v>1</v>
      </c>
      <c r="I203">
        <v>0</v>
      </c>
      <c r="J203">
        <v>1</v>
      </c>
      <c r="K203">
        <v>0.5</v>
      </c>
    </row>
    <row r="204" spans="1:11" x14ac:dyDescent="0.2">
      <c r="A204" t="s">
        <v>126</v>
      </c>
      <c r="B204">
        <v>35</v>
      </c>
      <c r="C204" t="s">
        <v>18</v>
      </c>
      <c r="D204" t="s">
        <v>2</v>
      </c>
      <c r="E204" t="s">
        <v>21</v>
      </c>
      <c r="F204">
        <v>0</v>
      </c>
      <c r="G204">
        <v>0</v>
      </c>
      <c r="H204">
        <v>0</v>
      </c>
      <c r="I204">
        <v>1</v>
      </c>
      <c r="J204">
        <v>1</v>
      </c>
      <c r="K204">
        <v>0.1</v>
      </c>
    </row>
    <row r="205" spans="1:11" x14ac:dyDescent="0.2">
      <c r="A205" t="s">
        <v>126</v>
      </c>
      <c r="B205">
        <v>35</v>
      </c>
      <c r="C205" t="s">
        <v>18</v>
      </c>
      <c r="D205" t="s">
        <v>6</v>
      </c>
      <c r="E205" t="s">
        <v>93</v>
      </c>
      <c r="F205">
        <v>0</v>
      </c>
      <c r="G205">
        <v>0</v>
      </c>
      <c r="H205">
        <v>1</v>
      </c>
      <c r="I205">
        <v>0</v>
      </c>
      <c r="J205">
        <v>1</v>
      </c>
      <c r="K205">
        <v>0.5</v>
      </c>
    </row>
    <row r="206" spans="1:11" x14ac:dyDescent="0.2">
      <c r="A206" t="s">
        <v>126</v>
      </c>
      <c r="B206">
        <v>35</v>
      </c>
      <c r="C206" t="s">
        <v>18</v>
      </c>
      <c r="D206" t="s">
        <v>6</v>
      </c>
      <c r="E206" t="s">
        <v>39</v>
      </c>
      <c r="F206">
        <v>1</v>
      </c>
      <c r="G206">
        <v>0</v>
      </c>
      <c r="H206">
        <v>0</v>
      </c>
      <c r="I206">
        <v>0</v>
      </c>
      <c r="J206">
        <v>1</v>
      </c>
      <c r="K206">
        <v>1</v>
      </c>
    </row>
    <row r="207" spans="1:11" x14ac:dyDescent="0.2">
      <c r="A207" t="s">
        <v>126</v>
      </c>
      <c r="B207">
        <v>36</v>
      </c>
      <c r="C207" t="s">
        <v>4</v>
      </c>
      <c r="D207" t="s">
        <v>2</v>
      </c>
      <c r="E207" t="s">
        <v>7</v>
      </c>
      <c r="F207">
        <v>0</v>
      </c>
      <c r="G207">
        <v>1</v>
      </c>
      <c r="H207">
        <v>0</v>
      </c>
      <c r="I207">
        <v>0</v>
      </c>
      <c r="J207">
        <v>1</v>
      </c>
      <c r="K207">
        <v>0.75</v>
      </c>
    </row>
    <row r="208" spans="1:11" x14ac:dyDescent="0.2">
      <c r="A208" t="s">
        <v>126</v>
      </c>
      <c r="B208">
        <v>36</v>
      </c>
      <c r="C208" t="s">
        <v>4</v>
      </c>
      <c r="D208" t="s">
        <v>2</v>
      </c>
      <c r="E208" t="s">
        <v>32</v>
      </c>
      <c r="F208">
        <v>4</v>
      </c>
      <c r="G208">
        <v>0</v>
      </c>
      <c r="H208">
        <v>0</v>
      </c>
      <c r="I208">
        <v>0</v>
      </c>
      <c r="J208">
        <v>4</v>
      </c>
      <c r="K208">
        <v>4</v>
      </c>
    </row>
    <row r="209" spans="1:11" x14ac:dyDescent="0.2">
      <c r="A209" t="s">
        <v>126</v>
      </c>
      <c r="B209">
        <v>36</v>
      </c>
      <c r="C209" t="s">
        <v>23</v>
      </c>
      <c r="D209" t="s">
        <v>33</v>
      </c>
      <c r="E209" t="s">
        <v>34</v>
      </c>
      <c r="F209">
        <v>0</v>
      </c>
      <c r="G209">
        <v>4</v>
      </c>
      <c r="H209">
        <v>0</v>
      </c>
      <c r="I209">
        <v>0</v>
      </c>
      <c r="J209">
        <v>4</v>
      </c>
      <c r="K209">
        <v>3</v>
      </c>
    </row>
    <row r="210" spans="1:11" x14ac:dyDescent="0.2">
      <c r="A210" t="s">
        <v>126</v>
      </c>
      <c r="B210">
        <v>36</v>
      </c>
      <c r="C210" t="s">
        <v>23</v>
      </c>
      <c r="D210" t="s">
        <v>33</v>
      </c>
      <c r="E210" t="s">
        <v>40</v>
      </c>
      <c r="F210">
        <v>0</v>
      </c>
      <c r="G210">
        <v>1</v>
      </c>
      <c r="H210">
        <v>0</v>
      </c>
      <c r="I210">
        <v>0</v>
      </c>
      <c r="J210">
        <v>1</v>
      </c>
      <c r="K210">
        <v>0.75</v>
      </c>
    </row>
    <row r="211" spans="1:11" x14ac:dyDescent="0.2">
      <c r="A211" t="s">
        <v>126</v>
      </c>
      <c r="B211">
        <v>36</v>
      </c>
      <c r="C211" t="s">
        <v>27</v>
      </c>
      <c r="D211" t="s">
        <v>2</v>
      </c>
      <c r="E211" t="s">
        <v>31</v>
      </c>
      <c r="F211">
        <v>1</v>
      </c>
      <c r="G211">
        <v>0</v>
      </c>
      <c r="H211">
        <v>0</v>
      </c>
      <c r="I211">
        <v>0</v>
      </c>
      <c r="J211">
        <v>1</v>
      </c>
      <c r="K211">
        <v>1</v>
      </c>
    </row>
    <row r="212" spans="1:11" x14ac:dyDescent="0.2">
      <c r="A212" t="s">
        <v>126</v>
      </c>
      <c r="B212">
        <v>36</v>
      </c>
      <c r="C212" t="s">
        <v>27</v>
      </c>
      <c r="D212" t="s">
        <v>6</v>
      </c>
      <c r="E212" t="s">
        <v>41</v>
      </c>
      <c r="F212">
        <v>0</v>
      </c>
      <c r="G212">
        <v>0</v>
      </c>
      <c r="H212">
        <v>0</v>
      </c>
      <c r="I212">
        <v>1</v>
      </c>
      <c r="J212">
        <v>1</v>
      </c>
      <c r="K212">
        <v>0.1</v>
      </c>
    </row>
    <row r="213" spans="1:11" x14ac:dyDescent="0.2">
      <c r="A213" t="s">
        <v>126</v>
      </c>
      <c r="B213">
        <v>36</v>
      </c>
      <c r="C213" t="s">
        <v>27</v>
      </c>
      <c r="D213" t="s">
        <v>2</v>
      </c>
      <c r="E213" t="s">
        <v>42</v>
      </c>
      <c r="F213">
        <v>0</v>
      </c>
      <c r="G213">
        <v>0</v>
      </c>
      <c r="H213">
        <v>0</v>
      </c>
      <c r="I213">
        <v>1</v>
      </c>
      <c r="J213">
        <v>1</v>
      </c>
      <c r="K213">
        <v>0.1</v>
      </c>
    </row>
    <row r="214" spans="1:11" x14ac:dyDescent="0.2">
      <c r="A214" t="s">
        <v>126</v>
      </c>
      <c r="B214">
        <v>37</v>
      </c>
      <c r="C214" t="s">
        <v>4</v>
      </c>
      <c r="D214" t="s">
        <v>33</v>
      </c>
      <c r="E214" t="s">
        <v>36</v>
      </c>
      <c r="F214">
        <v>1</v>
      </c>
      <c r="G214">
        <v>1</v>
      </c>
      <c r="H214">
        <v>0</v>
      </c>
      <c r="I214">
        <v>0</v>
      </c>
      <c r="J214">
        <v>2</v>
      </c>
      <c r="K214">
        <v>1.75</v>
      </c>
    </row>
    <row r="215" spans="1:11" x14ac:dyDescent="0.2">
      <c r="A215" t="s">
        <v>126</v>
      </c>
      <c r="B215">
        <v>37</v>
      </c>
      <c r="C215" t="s">
        <v>4</v>
      </c>
      <c r="D215" t="s">
        <v>2</v>
      </c>
      <c r="E215" t="s">
        <v>32</v>
      </c>
      <c r="F215">
        <v>1</v>
      </c>
      <c r="G215">
        <v>0</v>
      </c>
      <c r="H215">
        <v>0</v>
      </c>
      <c r="I215">
        <v>0</v>
      </c>
      <c r="J215">
        <v>1</v>
      </c>
      <c r="K215">
        <v>1</v>
      </c>
    </row>
    <row r="216" spans="1:11" x14ac:dyDescent="0.2">
      <c r="A216" t="s">
        <v>126</v>
      </c>
      <c r="B216">
        <v>37</v>
      </c>
      <c r="C216" t="s">
        <v>23</v>
      </c>
      <c r="D216" t="s">
        <v>33</v>
      </c>
      <c r="E216" t="s">
        <v>34</v>
      </c>
      <c r="F216">
        <v>0</v>
      </c>
      <c r="G216">
        <v>1</v>
      </c>
      <c r="H216">
        <v>0</v>
      </c>
      <c r="I216">
        <v>0</v>
      </c>
      <c r="J216">
        <v>1</v>
      </c>
      <c r="K216">
        <v>0.75</v>
      </c>
    </row>
    <row r="217" spans="1:11" x14ac:dyDescent="0.2">
      <c r="A217" t="s">
        <v>126</v>
      </c>
      <c r="B217">
        <v>38</v>
      </c>
      <c r="C217" t="s">
        <v>4</v>
      </c>
      <c r="D217" t="s">
        <v>6</v>
      </c>
      <c r="E217" t="s">
        <v>10</v>
      </c>
      <c r="F217">
        <v>0</v>
      </c>
      <c r="G217">
        <v>3</v>
      </c>
      <c r="H217">
        <v>1</v>
      </c>
      <c r="I217">
        <v>0</v>
      </c>
      <c r="J217">
        <v>4</v>
      </c>
      <c r="K217">
        <v>2.75</v>
      </c>
    </row>
    <row r="218" spans="1:11" x14ac:dyDescent="0.2">
      <c r="A218" t="s">
        <v>126</v>
      </c>
      <c r="B218">
        <v>38</v>
      </c>
      <c r="C218" t="s">
        <v>18</v>
      </c>
      <c r="D218" t="s">
        <v>2</v>
      </c>
      <c r="E218" t="s">
        <v>21</v>
      </c>
      <c r="F218">
        <v>0</v>
      </c>
      <c r="G218">
        <v>0</v>
      </c>
      <c r="H218">
        <v>0</v>
      </c>
      <c r="I218">
        <v>2</v>
      </c>
      <c r="J218">
        <v>2</v>
      </c>
      <c r="K218">
        <v>0.2</v>
      </c>
    </row>
    <row r="219" spans="1:11" x14ac:dyDescent="0.2">
      <c r="A219" t="s">
        <v>126</v>
      </c>
      <c r="B219">
        <v>38</v>
      </c>
      <c r="C219" t="s">
        <v>23</v>
      </c>
      <c r="D219" t="s">
        <v>6</v>
      </c>
      <c r="E219" t="s">
        <v>24</v>
      </c>
      <c r="F219">
        <v>0</v>
      </c>
      <c r="G219">
        <v>0</v>
      </c>
      <c r="H219">
        <v>1</v>
      </c>
      <c r="I219">
        <v>0</v>
      </c>
      <c r="J219">
        <v>1</v>
      </c>
      <c r="K219">
        <v>0.5</v>
      </c>
    </row>
    <row r="220" spans="1:11" x14ac:dyDescent="0.2">
      <c r="A220" t="s">
        <v>126</v>
      </c>
      <c r="B220">
        <v>38</v>
      </c>
      <c r="C220" t="s">
        <v>23</v>
      </c>
      <c r="D220" t="s">
        <v>2</v>
      </c>
      <c r="E220" t="s">
        <v>10</v>
      </c>
      <c r="F220">
        <v>0</v>
      </c>
      <c r="G220">
        <v>3</v>
      </c>
      <c r="H220">
        <v>1</v>
      </c>
      <c r="I220">
        <v>0</v>
      </c>
      <c r="J220">
        <v>4</v>
      </c>
      <c r="K220">
        <v>2.75</v>
      </c>
    </row>
    <row r="221" spans="1:11" x14ac:dyDescent="0.2">
      <c r="A221" t="s">
        <v>126</v>
      </c>
      <c r="B221">
        <v>38</v>
      </c>
      <c r="C221" t="s">
        <v>23</v>
      </c>
      <c r="D221" t="s">
        <v>6</v>
      </c>
      <c r="E221" t="s">
        <v>25</v>
      </c>
      <c r="F221">
        <v>0</v>
      </c>
      <c r="G221">
        <v>3</v>
      </c>
      <c r="H221">
        <v>1</v>
      </c>
      <c r="I221">
        <v>0</v>
      </c>
      <c r="J221">
        <v>4</v>
      </c>
      <c r="K221">
        <v>2.75</v>
      </c>
    </row>
    <row r="222" spans="1:11" x14ac:dyDescent="0.2">
      <c r="A222" t="s">
        <v>126</v>
      </c>
      <c r="B222">
        <v>38</v>
      </c>
      <c r="C222" t="s">
        <v>27</v>
      </c>
      <c r="D222" t="s">
        <v>6</v>
      </c>
      <c r="E222" t="s">
        <v>55</v>
      </c>
      <c r="F222">
        <v>1</v>
      </c>
      <c r="G222">
        <v>0</v>
      </c>
      <c r="H222">
        <v>2</v>
      </c>
      <c r="I222">
        <v>0</v>
      </c>
      <c r="J222">
        <v>3</v>
      </c>
      <c r="K222">
        <v>2</v>
      </c>
    </row>
    <row r="223" spans="1:11" x14ac:dyDescent="0.2">
      <c r="A223" t="s">
        <v>126</v>
      </c>
      <c r="B223">
        <v>39</v>
      </c>
      <c r="C223" t="s">
        <v>15</v>
      </c>
      <c r="D223" t="s">
        <v>2</v>
      </c>
      <c r="E223" t="s">
        <v>46</v>
      </c>
      <c r="F223">
        <v>1</v>
      </c>
      <c r="G223">
        <v>0</v>
      </c>
      <c r="H223">
        <v>0</v>
      </c>
      <c r="I223">
        <v>0</v>
      </c>
      <c r="J223">
        <v>1</v>
      </c>
      <c r="K223">
        <v>1</v>
      </c>
    </row>
    <row r="224" spans="1:11" x14ac:dyDescent="0.2">
      <c r="A224" t="s">
        <v>126</v>
      </c>
      <c r="B224">
        <v>39</v>
      </c>
      <c r="C224" t="s">
        <v>23</v>
      </c>
      <c r="D224" t="s">
        <v>2</v>
      </c>
      <c r="E224" t="s">
        <v>74</v>
      </c>
      <c r="F224">
        <v>0</v>
      </c>
      <c r="G224">
        <v>0</v>
      </c>
      <c r="H224">
        <v>1</v>
      </c>
      <c r="I224">
        <v>0</v>
      </c>
      <c r="J224">
        <v>1</v>
      </c>
      <c r="K224">
        <v>0.5</v>
      </c>
    </row>
    <row r="225" spans="1:11" x14ac:dyDescent="0.2">
      <c r="A225" t="s">
        <v>126</v>
      </c>
      <c r="B225">
        <v>40</v>
      </c>
      <c r="C225" t="s">
        <v>4</v>
      </c>
      <c r="D225" t="s">
        <v>6</v>
      </c>
      <c r="E225" t="s">
        <v>59</v>
      </c>
      <c r="F225">
        <v>0</v>
      </c>
      <c r="G225">
        <v>1</v>
      </c>
      <c r="H225">
        <v>0</v>
      </c>
      <c r="I225">
        <v>0</v>
      </c>
      <c r="J225">
        <v>1</v>
      </c>
      <c r="K225">
        <v>0.75</v>
      </c>
    </row>
    <row r="226" spans="1:11" x14ac:dyDescent="0.2">
      <c r="A226" t="s">
        <v>126</v>
      </c>
      <c r="B226">
        <v>40</v>
      </c>
      <c r="C226" t="s">
        <v>4</v>
      </c>
      <c r="D226" t="s">
        <v>2</v>
      </c>
      <c r="E226" t="s">
        <v>7</v>
      </c>
      <c r="F226">
        <v>0</v>
      </c>
      <c r="G226">
        <v>1</v>
      </c>
      <c r="H226">
        <v>0</v>
      </c>
      <c r="I226">
        <v>0</v>
      </c>
      <c r="J226">
        <v>1</v>
      </c>
      <c r="K226">
        <v>0.75</v>
      </c>
    </row>
    <row r="227" spans="1:11" x14ac:dyDescent="0.2">
      <c r="A227" t="s">
        <v>126</v>
      </c>
      <c r="B227">
        <v>40</v>
      </c>
      <c r="C227" t="s">
        <v>15</v>
      </c>
      <c r="D227" t="s">
        <v>2</v>
      </c>
      <c r="E227" t="s">
        <v>16</v>
      </c>
      <c r="F227">
        <v>0</v>
      </c>
      <c r="G227">
        <v>0</v>
      </c>
      <c r="H227">
        <v>1</v>
      </c>
      <c r="I227">
        <v>0</v>
      </c>
      <c r="J227">
        <v>1</v>
      </c>
      <c r="K227">
        <v>0.5</v>
      </c>
    </row>
    <row r="228" spans="1:11" x14ac:dyDescent="0.2">
      <c r="A228" t="s">
        <v>126</v>
      </c>
      <c r="B228">
        <v>40</v>
      </c>
      <c r="C228" t="s">
        <v>23</v>
      </c>
      <c r="D228" t="s">
        <v>2</v>
      </c>
      <c r="E228" t="s">
        <v>59</v>
      </c>
      <c r="F228">
        <v>0</v>
      </c>
      <c r="G228">
        <v>1</v>
      </c>
      <c r="H228">
        <v>0</v>
      </c>
      <c r="I228">
        <v>0</v>
      </c>
      <c r="J228">
        <v>1</v>
      </c>
      <c r="K228">
        <v>0.75</v>
      </c>
    </row>
    <row r="229" spans="1:11" x14ac:dyDescent="0.2">
      <c r="A229" t="s">
        <v>126</v>
      </c>
      <c r="B229">
        <v>40</v>
      </c>
      <c r="C229" t="s">
        <v>23</v>
      </c>
      <c r="D229" t="s">
        <v>6</v>
      </c>
      <c r="E229" t="s">
        <v>59</v>
      </c>
      <c r="F229">
        <v>0</v>
      </c>
      <c r="G229">
        <v>1</v>
      </c>
      <c r="H229">
        <v>0</v>
      </c>
      <c r="I229">
        <v>0</v>
      </c>
      <c r="J229">
        <v>1</v>
      </c>
      <c r="K229">
        <v>0.75</v>
      </c>
    </row>
    <row r="230" spans="1:11" x14ac:dyDescent="0.2">
      <c r="A230" t="s">
        <v>126</v>
      </c>
      <c r="B230">
        <v>40</v>
      </c>
      <c r="C230" t="s">
        <v>23</v>
      </c>
      <c r="D230" t="s">
        <v>33</v>
      </c>
      <c r="E230" t="s">
        <v>40</v>
      </c>
      <c r="F230">
        <v>0</v>
      </c>
      <c r="G230">
        <v>1</v>
      </c>
      <c r="H230">
        <v>0</v>
      </c>
      <c r="I230">
        <v>0</v>
      </c>
      <c r="J230">
        <v>1</v>
      </c>
      <c r="K230">
        <v>0.75</v>
      </c>
    </row>
    <row r="231" spans="1:11" x14ac:dyDescent="0.2">
      <c r="A231" t="s">
        <v>126</v>
      </c>
      <c r="B231">
        <v>40</v>
      </c>
      <c r="C231" t="s">
        <v>23</v>
      </c>
      <c r="D231" t="s">
        <v>2</v>
      </c>
      <c r="E231" t="s">
        <v>61</v>
      </c>
      <c r="F231">
        <v>0</v>
      </c>
      <c r="G231">
        <v>0</v>
      </c>
      <c r="H231">
        <v>1</v>
      </c>
      <c r="I231">
        <v>0</v>
      </c>
      <c r="J231">
        <v>1</v>
      </c>
      <c r="K231">
        <v>0.5</v>
      </c>
    </row>
    <row r="232" spans="1:11" x14ac:dyDescent="0.2">
      <c r="A232" t="s">
        <v>126</v>
      </c>
      <c r="B232">
        <v>41</v>
      </c>
      <c r="C232" t="s">
        <v>4</v>
      </c>
      <c r="D232" t="s">
        <v>6</v>
      </c>
      <c r="E232" t="s">
        <v>10</v>
      </c>
      <c r="F232">
        <v>0</v>
      </c>
      <c r="G232">
        <v>1</v>
      </c>
      <c r="H232">
        <v>0</v>
      </c>
      <c r="I232">
        <v>0</v>
      </c>
      <c r="J232">
        <v>1</v>
      </c>
      <c r="K232">
        <v>0.75</v>
      </c>
    </row>
    <row r="233" spans="1:11" x14ac:dyDescent="0.2">
      <c r="A233" t="s">
        <v>126</v>
      </c>
      <c r="B233">
        <v>41</v>
      </c>
      <c r="C233" t="s">
        <v>15</v>
      </c>
      <c r="D233" t="s">
        <v>2</v>
      </c>
      <c r="E233" t="s">
        <v>16</v>
      </c>
      <c r="F233">
        <v>0</v>
      </c>
      <c r="G233">
        <v>0</v>
      </c>
      <c r="H233">
        <v>0</v>
      </c>
      <c r="I233">
        <v>5</v>
      </c>
      <c r="J233">
        <v>5</v>
      </c>
      <c r="K233">
        <v>0.5</v>
      </c>
    </row>
    <row r="234" spans="1:11" x14ac:dyDescent="0.2">
      <c r="A234" t="s">
        <v>126</v>
      </c>
      <c r="B234">
        <v>41</v>
      </c>
      <c r="C234" t="s">
        <v>18</v>
      </c>
      <c r="D234" t="s">
        <v>6</v>
      </c>
      <c r="E234" t="s">
        <v>19</v>
      </c>
      <c r="F234">
        <v>0</v>
      </c>
      <c r="G234">
        <v>0</v>
      </c>
      <c r="H234">
        <v>4</v>
      </c>
      <c r="I234">
        <v>0</v>
      </c>
      <c r="J234">
        <v>4</v>
      </c>
      <c r="K234">
        <v>2</v>
      </c>
    </row>
    <row r="235" spans="1:11" x14ac:dyDescent="0.2">
      <c r="A235" t="s">
        <v>126</v>
      </c>
      <c r="B235">
        <v>41</v>
      </c>
      <c r="C235" t="s">
        <v>18</v>
      </c>
      <c r="D235" t="s">
        <v>2</v>
      </c>
      <c r="E235" t="s">
        <v>21</v>
      </c>
      <c r="F235">
        <v>0</v>
      </c>
      <c r="G235">
        <v>0</v>
      </c>
      <c r="H235">
        <v>0</v>
      </c>
      <c r="I235">
        <v>1</v>
      </c>
      <c r="J235">
        <v>1</v>
      </c>
      <c r="K235">
        <v>0.1</v>
      </c>
    </row>
    <row r="236" spans="1:11" x14ac:dyDescent="0.2">
      <c r="A236" t="s">
        <v>126</v>
      </c>
      <c r="B236">
        <v>41</v>
      </c>
      <c r="C236" t="s">
        <v>23</v>
      </c>
      <c r="D236" t="s">
        <v>2</v>
      </c>
      <c r="E236" t="s">
        <v>10</v>
      </c>
      <c r="F236">
        <v>0</v>
      </c>
      <c r="G236">
        <v>1</v>
      </c>
      <c r="H236">
        <v>0</v>
      </c>
      <c r="I236">
        <v>0</v>
      </c>
      <c r="J236">
        <v>1</v>
      </c>
      <c r="K236">
        <v>0.75</v>
      </c>
    </row>
    <row r="237" spans="1:11" x14ac:dyDescent="0.2">
      <c r="A237" t="s">
        <v>126</v>
      </c>
      <c r="B237">
        <v>41</v>
      </c>
      <c r="C237" t="s">
        <v>23</v>
      </c>
      <c r="D237" t="s">
        <v>6</v>
      </c>
      <c r="E237" t="s">
        <v>25</v>
      </c>
      <c r="F237">
        <v>0</v>
      </c>
      <c r="G237">
        <v>1</v>
      </c>
      <c r="H237">
        <v>0</v>
      </c>
      <c r="I237">
        <v>0</v>
      </c>
      <c r="J237">
        <v>1</v>
      </c>
      <c r="K237">
        <v>0.75</v>
      </c>
    </row>
    <row r="238" spans="1:11" x14ac:dyDescent="0.2">
      <c r="A238" t="s">
        <v>126</v>
      </c>
      <c r="B238">
        <v>42</v>
      </c>
      <c r="C238" t="s">
        <v>4</v>
      </c>
      <c r="D238" t="s">
        <v>2</v>
      </c>
      <c r="E238" t="s">
        <v>80</v>
      </c>
      <c r="F238">
        <v>1</v>
      </c>
      <c r="G238">
        <v>0</v>
      </c>
      <c r="H238">
        <v>0</v>
      </c>
      <c r="I238">
        <v>0</v>
      </c>
      <c r="J238">
        <v>1</v>
      </c>
      <c r="K238">
        <v>1</v>
      </c>
    </row>
    <row r="239" spans="1:11" x14ac:dyDescent="0.2">
      <c r="A239" t="s">
        <v>126</v>
      </c>
      <c r="B239">
        <v>42</v>
      </c>
      <c r="C239" t="s">
        <v>4</v>
      </c>
      <c r="D239" t="s">
        <v>6</v>
      </c>
      <c r="E239" t="s">
        <v>80</v>
      </c>
      <c r="F239">
        <v>1</v>
      </c>
      <c r="G239">
        <v>0</v>
      </c>
      <c r="H239">
        <v>0</v>
      </c>
      <c r="I239">
        <v>0</v>
      </c>
      <c r="J239">
        <v>1</v>
      </c>
      <c r="K239">
        <v>1</v>
      </c>
    </row>
    <row r="240" spans="1:11" x14ac:dyDescent="0.2">
      <c r="A240" t="s">
        <v>126</v>
      </c>
      <c r="B240">
        <v>42</v>
      </c>
      <c r="C240" t="s">
        <v>4</v>
      </c>
      <c r="D240" t="s">
        <v>2</v>
      </c>
      <c r="E240" t="s">
        <v>43</v>
      </c>
      <c r="F240">
        <v>0</v>
      </c>
      <c r="G240">
        <v>0</v>
      </c>
      <c r="H240">
        <v>0</v>
      </c>
      <c r="I240">
        <v>1</v>
      </c>
      <c r="J240">
        <v>1</v>
      </c>
      <c r="K240">
        <v>0.1</v>
      </c>
    </row>
    <row r="241" spans="1:11" x14ac:dyDescent="0.2">
      <c r="A241" t="s">
        <v>126</v>
      </c>
      <c r="B241">
        <v>42</v>
      </c>
      <c r="C241" t="s">
        <v>4</v>
      </c>
      <c r="D241" t="s">
        <v>2</v>
      </c>
      <c r="E241" t="s">
        <v>9</v>
      </c>
      <c r="F241">
        <v>0</v>
      </c>
      <c r="G241">
        <v>0</v>
      </c>
      <c r="H241">
        <v>4</v>
      </c>
      <c r="I241">
        <v>0</v>
      </c>
      <c r="J241">
        <v>4</v>
      </c>
      <c r="K241">
        <v>2</v>
      </c>
    </row>
    <row r="242" spans="1:11" x14ac:dyDescent="0.2">
      <c r="A242" t="s">
        <v>126</v>
      </c>
      <c r="B242">
        <v>42</v>
      </c>
      <c r="C242" t="s">
        <v>4</v>
      </c>
      <c r="D242" t="s">
        <v>2</v>
      </c>
      <c r="E242" t="s">
        <v>32</v>
      </c>
      <c r="F242">
        <v>0</v>
      </c>
      <c r="G242">
        <v>0</v>
      </c>
      <c r="H242">
        <v>0</v>
      </c>
      <c r="I242">
        <v>1</v>
      </c>
      <c r="J242">
        <v>1</v>
      </c>
      <c r="K242">
        <v>0.1</v>
      </c>
    </row>
    <row r="243" spans="1:11" x14ac:dyDescent="0.2">
      <c r="A243" t="s">
        <v>126</v>
      </c>
      <c r="B243">
        <v>42</v>
      </c>
      <c r="C243" t="s">
        <v>15</v>
      </c>
      <c r="D243" t="s">
        <v>2</v>
      </c>
      <c r="E243" t="s">
        <v>16</v>
      </c>
      <c r="F243">
        <v>0</v>
      </c>
      <c r="G243">
        <v>0</v>
      </c>
      <c r="H243">
        <v>1</v>
      </c>
      <c r="I243">
        <v>0</v>
      </c>
      <c r="J243">
        <v>1</v>
      </c>
      <c r="K243">
        <v>0.5</v>
      </c>
    </row>
    <row r="244" spans="1:11" x14ac:dyDescent="0.2">
      <c r="A244" t="s">
        <v>126</v>
      </c>
      <c r="B244">
        <v>42</v>
      </c>
      <c r="C244" t="s">
        <v>15</v>
      </c>
      <c r="D244" t="s">
        <v>2</v>
      </c>
      <c r="E244" t="s">
        <v>80</v>
      </c>
      <c r="F244">
        <v>1</v>
      </c>
      <c r="G244">
        <v>0</v>
      </c>
      <c r="H244">
        <v>0</v>
      </c>
      <c r="I244">
        <v>0</v>
      </c>
      <c r="J244">
        <v>1</v>
      </c>
      <c r="K244">
        <v>1</v>
      </c>
    </row>
    <row r="245" spans="1:11" x14ac:dyDescent="0.2">
      <c r="A245" t="s">
        <v>126</v>
      </c>
      <c r="B245">
        <v>42</v>
      </c>
      <c r="C245" t="s">
        <v>18</v>
      </c>
      <c r="D245" t="s">
        <v>2</v>
      </c>
      <c r="E245" t="s">
        <v>21</v>
      </c>
      <c r="F245">
        <v>0</v>
      </c>
      <c r="G245">
        <v>0</v>
      </c>
      <c r="H245">
        <v>0</v>
      </c>
      <c r="I245">
        <v>2</v>
      </c>
      <c r="J245">
        <v>2</v>
      </c>
      <c r="K245">
        <v>0.2</v>
      </c>
    </row>
    <row r="246" spans="1:11" x14ac:dyDescent="0.2">
      <c r="A246" t="s">
        <v>126</v>
      </c>
      <c r="B246">
        <v>42</v>
      </c>
      <c r="C246" t="s">
        <v>23</v>
      </c>
      <c r="D246" t="s">
        <v>33</v>
      </c>
      <c r="E246" t="s">
        <v>34</v>
      </c>
      <c r="F246">
        <v>0</v>
      </c>
      <c r="G246">
        <v>0</v>
      </c>
      <c r="H246">
        <v>0</v>
      </c>
      <c r="I246">
        <v>1</v>
      </c>
      <c r="J246">
        <v>1</v>
      </c>
      <c r="K246">
        <v>0.1</v>
      </c>
    </row>
    <row r="247" spans="1:11" x14ac:dyDescent="0.2">
      <c r="A247" t="s">
        <v>126</v>
      </c>
      <c r="B247">
        <v>42</v>
      </c>
      <c r="C247" t="s">
        <v>27</v>
      </c>
      <c r="D247" t="s">
        <v>2</v>
      </c>
      <c r="E247" t="s">
        <v>86</v>
      </c>
      <c r="F247">
        <v>0</v>
      </c>
      <c r="G247">
        <v>0</v>
      </c>
      <c r="H247">
        <v>1</v>
      </c>
      <c r="I247">
        <v>3</v>
      </c>
      <c r="J247">
        <v>4</v>
      </c>
      <c r="K247">
        <v>0.8</v>
      </c>
    </row>
    <row r="248" spans="1:11" x14ac:dyDescent="0.2">
      <c r="A248" t="s">
        <v>126</v>
      </c>
      <c r="B248">
        <v>42</v>
      </c>
      <c r="C248" t="s">
        <v>27</v>
      </c>
      <c r="D248" t="s">
        <v>6</v>
      </c>
      <c r="E248" t="s">
        <v>72</v>
      </c>
      <c r="F248">
        <v>1</v>
      </c>
      <c r="G248">
        <v>0</v>
      </c>
      <c r="H248">
        <v>2</v>
      </c>
      <c r="I248">
        <v>0</v>
      </c>
      <c r="J248">
        <v>3</v>
      </c>
      <c r="K248">
        <v>2</v>
      </c>
    </row>
    <row r="249" spans="1:11" x14ac:dyDescent="0.2">
      <c r="A249" t="s">
        <v>126</v>
      </c>
      <c r="B249">
        <v>42</v>
      </c>
      <c r="C249" t="s">
        <v>27</v>
      </c>
      <c r="D249" t="s">
        <v>2</v>
      </c>
      <c r="E249" t="s">
        <v>42</v>
      </c>
      <c r="F249">
        <v>0</v>
      </c>
      <c r="G249">
        <v>0</v>
      </c>
      <c r="H249">
        <v>2</v>
      </c>
      <c r="I249">
        <v>0</v>
      </c>
      <c r="J249">
        <v>2</v>
      </c>
      <c r="K249">
        <v>1</v>
      </c>
    </row>
    <row r="250" spans="1:11" x14ac:dyDescent="0.2">
      <c r="A250" t="s">
        <v>126</v>
      </c>
      <c r="B250">
        <v>42</v>
      </c>
      <c r="C250" t="s">
        <v>27</v>
      </c>
      <c r="D250" t="s">
        <v>2</v>
      </c>
      <c r="E250" t="s">
        <v>102</v>
      </c>
      <c r="F250">
        <v>0</v>
      </c>
      <c r="G250">
        <v>0</v>
      </c>
      <c r="H250">
        <v>2</v>
      </c>
      <c r="I250">
        <v>2</v>
      </c>
      <c r="J250">
        <v>4</v>
      </c>
      <c r="K250">
        <v>1.2</v>
      </c>
    </row>
    <row r="251" spans="1:11" x14ac:dyDescent="0.2">
      <c r="A251" t="s">
        <v>126</v>
      </c>
      <c r="B251">
        <v>42</v>
      </c>
      <c r="C251" t="s">
        <v>27</v>
      </c>
      <c r="D251" t="s">
        <v>6</v>
      </c>
      <c r="E251" t="s">
        <v>102</v>
      </c>
      <c r="F251">
        <v>0</v>
      </c>
      <c r="G251">
        <v>0</v>
      </c>
      <c r="H251">
        <v>2</v>
      </c>
      <c r="I251">
        <v>2</v>
      </c>
      <c r="J251">
        <v>4</v>
      </c>
      <c r="K251">
        <v>1.2</v>
      </c>
    </row>
    <row r="252" spans="1:11" x14ac:dyDescent="0.2">
      <c r="A252" t="s">
        <v>126</v>
      </c>
      <c r="B252">
        <v>43</v>
      </c>
      <c r="C252" t="s">
        <v>4</v>
      </c>
      <c r="D252" t="s">
        <v>6</v>
      </c>
      <c r="E252" t="s">
        <v>45</v>
      </c>
      <c r="F252">
        <v>0</v>
      </c>
      <c r="G252">
        <v>0</v>
      </c>
      <c r="H252">
        <v>0</v>
      </c>
      <c r="I252">
        <v>1</v>
      </c>
      <c r="J252">
        <v>1</v>
      </c>
      <c r="K252">
        <v>0.1</v>
      </c>
    </row>
    <row r="253" spans="1:11" x14ac:dyDescent="0.2">
      <c r="A253" t="s">
        <v>126</v>
      </c>
      <c r="B253">
        <v>43</v>
      </c>
      <c r="C253" t="s">
        <v>4</v>
      </c>
      <c r="D253" t="s">
        <v>2</v>
      </c>
      <c r="E253" t="s">
        <v>48</v>
      </c>
      <c r="F253">
        <v>0</v>
      </c>
      <c r="G253">
        <v>0</v>
      </c>
      <c r="H253">
        <v>1</v>
      </c>
      <c r="I253">
        <v>0</v>
      </c>
      <c r="J253">
        <v>1</v>
      </c>
      <c r="K253">
        <v>0.5</v>
      </c>
    </row>
    <row r="254" spans="1:11" x14ac:dyDescent="0.2">
      <c r="A254" t="s">
        <v>126</v>
      </c>
      <c r="B254">
        <v>43</v>
      </c>
      <c r="C254" t="s">
        <v>1</v>
      </c>
      <c r="D254" t="s">
        <v>33</v>
      </c>
      <c r="E254" t="s">
        <v>45</v>
      </c>
      <c r="F254">
        <v>0</v>
      </c>
      <c r="G254">
        <v>0</v>
      </c>
      <c r="H254">
        <v>0</v>
      </c>
      <c r="I254">
        <v>1</v>
      </c>
      <c r="J254">
        <v>1</v>
      </c>
      <c r="K254">
        <v>0.1</v>
      </c>
    </row>
    <row r="255" spans="1:11" x14ac:dyDescent="0.2">
      <c r="A255" t="s">
        <v>126</v>
      </c>
      <c r="B255">
        <v>43</v>
      </c>
      <c r="C255" t="s">
        <v>1</v>
      </c>
      <c r="D255" t="s">
        <v>2</v>
      </c>
      <c r="E255" t="s">
        <v>48</v>
      </c>
      <c r="F255">
        <v>0</v>
      </c>
      <c r="G255">
        <v>0</v>
      </c>
      <c r="H255">
        <v>1</v>
      </c>
      <c r="I255">
        <v>0</v>
      </c>
      <c r="J255">
        <v>1</v>
      </c>
      <c r="K255">
        <v>0.5</v>
      </c>
    </row>
    <row r="256" spans="1:11" x14ac:dyDescent="0.2">
      <c r="A256" t="s">
        <v>126</v>
      </c>
      <c r="B256">
        <v>43</v>
      </c>
      <c r="C256" t="s">
        <v>15</v>
      </c>
      <c r="D256" t="s">
        <v>2</v>
      </c>
      <c r="E256" t="s">
        <v>16</v>
      </c>
      <c r="F256">
        <v>0</v>
      </c>
      <c r="G256">
        <v>0</v>
      </c>
      <c r="H256">
        <v>1</v>
      </c>
      <c r="I256">
        <v>0</v>
      </c>
      <c r="J256">
        <v>1</v>
      </c>
      <c r="K256">
        <v>0.5</v>
      </c>
    </row>
    <row r="257" spans="1:11" x14ac:dyDescent="0.2">
      <c r="A257" t="s">
        <v>126</v>
      </c>
      <c r="B257">
        <v>43</v>
      </c>
      <c r="C257" t="s">
        <v>15</v>
      </c>
      <c r="D257" t="s">
        <v>2</v>
      </c>
      <c r="E257" t="s">
        <v>48</v>
      </c>
      <c r="F257">
        <v>0</v>
      </c>
      <c r="G257">
        <v>0</v>
      </c>
      <c r="H257">
        <v>1</v>
      </c>
      <c r="I257">
        <v>0</v>
      </c>
      <c r="J257">
        <v>1</v>
      </c>
      <c r="K257">
        <v>0.5</v>
      </c>
    </row>
    <row r="258" spans="1:11" x14ac:dyDescent="0.2">
      <c r="A258" t="s">
        <v>126</v>
      </c>
      <c r="B258">
        <v>43</v>
      </c>
      <c r="C258" t="s">
        <v>15</v>
      </c>
      <c r="D258" t="s">
        <v>2</v>
      </c>
      <c r="E258" t="s">
        <v>129</v>
      </c>
      <c r="F258">
        <v>0</v>
      </c>
      <c r="G258">
        <v>0</v>
      </c>
      <c r="H258">
        <v>1</v>
      </c>
      <c r="I258">
        <v>1</v>
      </c>
      <c r="J258">
        <v>2</v>
      </c>
      <c r="K258">
        <v>0.6</v>
      </c>
    </row>
    <row r="259" spans="1:11" x14ac:dyDescent="0.2">
      <c r="A259" t="s">
        <v>126</v>
      </c>
      <c r="B259">
        <v>43</v>
      </c>
      <c r="C259" t="s">
        <v>15</v>
      </c>
      <c r="D259" t="s">
        <v>2</v>
      </c>
      <c r="E259" t="s">
        <v>77</v>
      </c>
      <c r="F259">
        <v>0</v>
      </c>
      <c r="G259">
        <v>0</v>
      </c>
      <c r="H259">
        <v>1</v>
      </c>
      <c r="I259">
        <v>0</v>
      </c>
      <c r="J259">
        <v>1</v>
      </c>
      <c r="K259">
        <v>0.5</v>
      </c>
    </row>
    <row r="260" spans="1:11" x14ac:dyDescent="0.2">
      <c r="A260" t="s">
        <v>126</v>
      </c>
      <c r="B260">
        <v>43</v>
      </c>
      <c r="C260" t="s">
        <v>18</v>
      </c>
      <c r="D260" t="s">
        <v>2</v>
      </c>
      <c r="E260" t="s">
        <v>21</v>
      </c>
      <c r="F260">
        <v>0</v>
      </c>
      <c r="G260">
        <v>0</v>
      </c>
      <c r="H260">
        <v>0</v>
      </c>
      <c r="I260">
        <v>2</v>
      </c>
      <c r="J260">
        <v>2</v>
      </c>
      <c r="K260">
        <v>0.2</v>
      </c>
    </row>
    <row r="261" spans="1:11" x14ac:dyDescent="0.2">
      <c r="A261" t="s">
        <v>126</v>
      </c>
      <c r="B261">
        <v>43</v>
      </c>
      <c r="C261" t="s">
        <v>18</v>
      </c>
      <c r="D261" t="s">
        <v>2</v>
      </c>
      <c r="E261" t="s">
        <v>97</v>
      </c>
      <c r="F261">
        <v>0</v>
      </c>
      <c r="G261">
        <v>0</v>
      </c>
      <c r="H261">
        <v>0</v>
      </c>
      <c r="I261">
        <v>1</v>
      </c>
      <c r="J261">
        <v>1</v>
      </c>
      <c r="K261">
        <v>0.1</v>
      </c>
    </row>
    <row r="262" spans="1:11" x14ac:dyDescent="0.2">
      <c r="A262" t="s">
        <v>126</v>
      </c>
      <c r="B262">
        <v>43</v>
      </c>
      <c r="C262" t="s">
        <v>23</v>
      </c>
      <c r="D262" t="s">
        <v>2</v>
      </c>
      <c r="E262" t="s">
        <v>48</v>
      </c>
      <c r="F262">
        <v>0</v>
      </c>
      <c r="G262">
        <v>0</v>
      </c>
      <c r="H262">
        <v>1</v>
      </c>
      <c r="I262">
        <v>0</v>
      </c>
      <c r="J262">
        <v>1</v>
      </c>
      <c r="K262">
        <v>0.5</v>
      </c>
    </row>
    <row r="263" spans="1:11" x14ac:dyDescent="0.2">
      <c r="A263" t="s">
        <v>126</v>
      </c>
      <c r="B263">
        <v>43</v>
      </c>
      <c r="C263" t="s">
        <v>23</v>
      </c>
      <c r="D263" t="s">
        <v>33</v>
      </c>
      <c r="E263" t="s">
        <v>40</v>
      </c>
      <c r="F263">
        <v>0</v>
      </c>
      <c r="G263">
        <v>1</v>
      </c>
      <c r="H263">
        <v>0</v>
      </c>
      <c r="I263">
        <v>0</v>
      </c>
      <c r="J263">
        <v>1</v>
      </c>
      <c r="K263">
        <v>0.75</v>
      </c>
    </row>
    <row r="264" spans="1:11" x14ac:dyDescent="0.2">
      <c r="A264" t="s">
        <v>126</v>
      </c>
      <c r="B264">
        <v>43</v>
      </c>
      <c r="C264" t="s">
        <v>23</v>
      </c>
      <c r="D264" t="s">
        <v>2</v>
      </c>
      <c r="E264" t="s">
        <v>58</v>
      </c>
      <c r="F264">
        <v>0</v>
      </c>
      <c r="G264">
        <v>0</v>
      </c>
      <c r="H264">
        <v>2</v>
      </c>
      <c r="I264">
        <v>0</v>
      </c>
      <c r="J264">
        <v>2</v>
      </c>
      <c r="K264">
        <v>1.1000000000000001</v>
      </c>
    </row>
    <row r="265" spans="1:11" x14ac:dyDescent="0.2">
      <c r="A265" t="s">
        <v>126</v>
      </c>
      <c r="B265">
        <v>43</v>
      </c>
      <c r="C265" t="s">
        <v>27</v>
      </c>
      <c r="D265" t="s">
        <v>2</v>
      </c>
      <c r="E265" t="s">
        <v>31</v>
      </c>
      <c r="F265">
        <v>0</v>
      </c>
      <c r="G265">
        <v>0</v>
      </c>
      <c r="H265">
        <v>6</v>
      </c>
      <c r="I265">
        <v>0</v>
      </c>
      <c r="J265">
        <v>6</v>
      </c>
      <c r="K265">
        <v>3</v>
      </c>
    </row>
    <row r="266" spans="1:11" x14ac:dyDescent="0.2">
      <c r="A266" t="s">
        <v>126</v>
      </c>
      <c r="B266">
        <v>43</v>
      </c>
      <c r="C266" t="s">
        <v>27</v>
      </c>
      <c r="D266" t="s">
        <v>6</v>
      </c>
      <c r="E266" t="s">
        <v>72</v>
      </c>
      <c r="F266">
        <v>1</v>
      </c>
      <c r="G266">
        <v>0</v>
      </c>
      <c r="H266">
        <v>0</v>
      </c>
      <c r="I266">
        <v>0</v>
      </c>
      <c r="J266">
        <v>1</v>
      </c>
      <c r="K266">
        <v>1</v>
      </c>
    </row>
    <row r="267" spans="1:11" x14ac:dyDescent="0.2">
      <c r="A267" t="s">
        <v>126</v>
      </c>
      <c r="B267">
        <v>43</v>
      </c>
      <c r="C267" t="s">
        <v>27</v>
      </c>
      <c r="D267" t="s">
        <v>2</v>
      </c>
      <c r="E267" t="s">
        <v>83</v>
      </c>
      <c r="F267">
        <v>1</v>
      </c>
      <c r="G267">
        <v>0</v>
      </c>
      <c r="H267">
        <v>3</v>
      </c>
      <c r="I267">
        <v>0</v>
      </c>
      <c r="J267">
        <v>4</v>
      </c>
      <c r="K267">
        <v>2.5</v>
      </c>
    </row>
    <row r="268" spans="1:11" x14ac:dyDescent="0.2">
      <c r="A268" t="s">
        <v>126</v>
      </c>
      <c r="B268">
        <v>43</v>
      </c>
      <c r="C268" t="s">
        <v>27</v>
      </c>
      <c r="D268" t="s">
        <v>6</v>
      </c>
      <c r="E268" t="s">
        <v>83</v>
      </c>
      <c r="F268">
        <v>1</v>
      </c>
      <c r="G268">
        <v>0</v>
      </c>
      <c r="H268">
        <v>3</v>
      </c>
      <c r="I268">
        <v>0</v>
      </c>
      <c r="J268">
        <v>4</v>
      </c>
      <c r="K268">
        <v>2.5</v>
      </c>
    </row>
    <row r="269" spans="1:11" x14ac:dyDescent="0.2">
      <c r="A269" t="s">
        <v>126</v>
      </c>
      <c r="B269">
        <v>44</v>
      </c>
      <c r="C269" t="s">
        <v>4</v>
      </c>
      <c r="D269" t="s">
        <v>33</v>
      </c>
      <c r="E269" t="s">
        <v>36</v>
      </c>
      <c r="F269">
        <v>0</v>
      </c>
      <c r="G269">
        <v>0</v>
      </c>
      <c r="H269">
        <v>1</v>
      </c>
      <c r="I269">
        <v>0</v>
      </c>
      <c r="J269">
        <v>1</v>
      </c>
      <c r="K269">
        <v>0.5</v>
      </c>
    </row>
    <row r="270" spans="1:11" x14ac:dyDescent="0.2">
      <c r="A270" t="s">
        <v>126</v>
      </c>
      <c r="B270">
        <v>44</v>
      </c>
      <c r="C270" t="s">
        <v>4</v>
      </c>
      <c r="D270" t="s">
        <v>2</v>
      </c>
      <c r="E270" t="s">
        <v>32</v>
      </c>
      <c r="F270">
        <v>0</v>
      </c>
      <c r="G270">
        <v>0</v>
      </c>
      <c r="H270">
        <v>0</v>
      </c>
      <c r="I270">
        <v>2</v>
      </c>
      <c r="J270">
        <v>2</v>
      </c>
      <c r="K270">
        <v>0.2</v>
      </c>
    </row>
    <row r="271" spans="1:11" x14ac:dyDescent="0.2">
      <c r="A271" t="s">
        <v>126</v>
      </c>
      <c r="B271">
        <v>44</v>
      </c>
      <c r="C271" t="s">
        <v>23</v>
      </c>
      <c r="D271" t="s">
        <v>33</v>
      </c>
      <c r="E271" t="s">
        <v>34</v>
      </c>
      <c r="F271">
        <v>0</v>
      </c>
      <c r="G271">
        <v>0</v>
      </c>
      <c r="H271">
        <v>2</v>
      </c>
      <c r="I271">
        <v>0</v>
      </c>
      <c r="J271">
        <v>2</v>
      </c>
      <c r="K271">
        <v>1.2</v>
      </c>
    </row>
    <row r="272" spans="1:11" x14ac:dyDescent="0.2">
      <c r="A272" t="s">
        <v>126</v>
      </c>
      <c r="B272">
        <v>44</v>
      </c>
      <c r="C272" t="s">
        <v>23</v>
      </c>
      <c r="D272" t="s">
        <v>2</v>
      </c>
      <c r="E272" t="s">
        <v>58</v>
      </c>
      <c r="F272">
        <v>0</v>
      </c>
      <c r="G272">
        <v>0</v>
      </c>
      <c r="H272">
        <v>1</v>
      </c>
      <c r="I272">
        <v>0</v>
      </c>
      <c r="J272">
        <v>1</v>
      </c>
      <c r="K272">
        <v>0.5</v>
      </c>
    </row>
    <row r="273" spans="1:11" x14ac:dyDescent="0.2">
      <c r="A273" t="s">
        <v>126</v>
      </c>
      <c r="B273">
        <v>44</v>
      </c>
      <c r="C273" t="s">
        <v>27</v>
      </c>
      <c r="D273" t="s">
        <v>6</v>
      </c>
      <c r="E273" t="s">
        <v>85</v>
      </c>
      <c r="F273">
        <v>0</v>
      </c>
      <c r="G273">
        <v>0</v>
      </c>
      <c r="H273">
        <v>0</v>
      </c>
      <c r="I273">
        <v>1</v>
      </c>
      <c r="J273">
        <v>1</v>
      </c>
      <c r="K273">
        <v>0.1</v>
      </c>
    </row>
    <row r="274" spans="1:11" x14ac:dyDescent="0.2">
      <c r="A274" t="s">
        <v>126</v>
      </c>
      <c r="B274">
        <v>44</v>
      </c>
      <c r="C274" t="s">
        <v>27</v>
      </c>
      <c r="D274" t="s">
        <v>2</v>
      </c>
      <c r="E274" t="s">
        <v>31</v>
      </c>
      <c r="F274">
        <v>1</v>
      </c>
      <c r="G274">
        <v>0</v>
      </c>
      <c r="H274">
        <v>1</v>
      </c>
      <c r="I274">
        <v>0</v>
      </c>
      <c r="J274">
        <v>2</v>
      </c>
      <c r="K274">
        <v>1.5</v>
      </c>
    </row>
    <row r="275" spans="1:11" x14ac:dyDescent="0.2">
      <c r="A275" t="s">
        <v>126</v>
      </c>
      <c r="B275">
        <v>44</v>
      </c>
      <c r="C275" t="s">
        <v>27</v>
      </c>
      <c r="D275" t="s">
        <v>2</v>
      </c>
      <c r="E275" t="s">
        <v>86</v>
      </c>
      <c r="F275">
        <v>0</v>
      </c>
      <c r="G275">
        <v>0</v>
      </c>
      <c r="H275">
        <v>0</v>
      </c>
      <c r="I275">
        <v>1</v>
      </c>
      <c r="J275">
        <v>1</v>
      </c>
      <c r="K275">
        <v>0.1</v>
      </c>
    </row>
    <row r="276" spans="1:11" x14ac:dyDescent="0.2">
      <c r="A276" t="s">
        <v>126</v>
      </c>
      <c r="B276">
        <v>44</v>
      </c>
      <c r="C276" t="s">
        <v>27</v>
      </c>
      <c r="D276" t="s">
        <v>6</v>
      </c>
      <c r="E276" t="s">
        <v>72</v>
      </c>
      <c r="F276">
        <v>2</v>
      </c>
      <c r="G276">
        <v>0</v>
      </c>
      <c r="H276">
        <v>0</v>
      </c>
      <c r="I276">
        <v>0</v>
      </c>
      <c r="J276">
        <v>2</v>
      </c>
      <c r="K276">
        <v>2</v>
      </c>
    </row>
    <row r="277" spans="1:11" x14ac:dyDescent="0.2">
      <c r="A277" t="s">
        <v>126</v>
      </c>
      <c r="B277">
        <v>44</v>
      </c>
      <c r="C277" t="s">
        <v>27</v>
      </c>
      <c r="D277" t="s">
        <v>2</v>
      </c>
      <c r="E277" t="s">
        <v>83</v>
      </c>
      <c r="F277">
        <v>0</v>
      </c>
      <c r="G277">
        <v>0</v>
      </c>
      <c r="H277">
        <v>1</v>
      </c>
      <c r="I277">
        <v>0</v>
      </c>
      <c r="J277">
        <v>1</v>
      </c>
      <c r="K277">
        <v>0.5</v>
      </c>
    </row>
    <row r="278" spans="1:11" x14ac:dyDescent="0.2">
      <c r="A278" t="s">
        <v>126</v>
      </c>
      <c r="B278">
        <v>44</v>
      </c>
      <c r="C278" t="s">
        <v>27</v>
      </c>
      <c r="D278" t="s">
        <v>6</v>
      </c>
      <c r="E278" t="s">
        <v>83</v>
      </c>
      <c r="F278">
        <v>0</v>
      </c>
      <c r="G278">
        <v>0</v>
      </c>
      <c r="H278">
        <v>1</v>
      </c>
      <c r="I278">
        <v>0</v>
      </c>
      <c r="J278">
        <v>1</v>
      </c>
      <c r="K278">
        <v>0.5</v>
      </c>
    </row>
    <row r="279" spans="1:11" x14ac:dyDescent="0.2">
      <c r="A279" t="s">
        <v>126</v>
      </c>
      <c r="B279">
        <v>44</v>
      </c>
      <c r="C279" t="s">
        <v>27</v>
      </c>
      <c r="D279" t="s">
        <v>2</v>
      </c>
      <c r="E279" t="s">
        <v>42</v>
      </c>
      <c r="F279">
        <v>0</v>
      </c>
      <c r="G279">
        <v>0</v>
      </c>
      <c r="H279">
        <v>1</v>
      </c>
      <c r="I279">
        <v>0</v>
      </c>
      <c r="J279">
        <v>1</v>
      </c>
      <c r="K279">
        <v>0.5</v>
      </c>
    </row>
    <row r="280" spans="1:11" x14ac:dyDescent="0.2">
      <c r="A280" t="s">
        <v>126</v>
      </c>
      <c r="B280">
        <v>44</v>
      </c>
      <c r="C280" t="s">
        <v>27</v>
      </c>
      <c r="D280" t="s">
        <v>33</v>
      </c>
      <c r="E280" t="s">
        <v>60</v>
      </c>
      <c r="F280">
        <v>5</v>
      </c>
      <c r="G280">
        <v>1</v>
      </c>
      <c r="H280">
        <v>0</v>
      </c>
      <c r="I280">
        <v>1</v>
      </c>
      <c r="J280">
        <v>7</v>
      </c>
      <c r="K280">
        <v>5.85</v>
      </c>
    </row>
    <row r="281" spans="1:11" x14ac:dyDescent="0.2">
      <c r="A281" t="s">
        <v>126</v>
      </c>
      <c r="B281">
        <v>45</v>
      </c>
      <c r="C281" t="s">
        <v>4</v>
      </c>
      <c r="D281" t="s">
        <v>6</v>
      </c>
      <c r="E281" t="s">
        <v>59</v>
      </c>
      <c r="F281">
        <v>0</v>
      </c>
      <c r="G281">
        <v>0</v>
      </c>
      <c r="H281">
        <v>1</v>
      </c>
      <c r="I281">
        <v>0</v>
      </c>
      <c r="J281">
        <v>1</v>
      </c>
      <c r="K281">
        <v>0.5</v>
      </c>
    </row>
    <row r="282" spans="1:11" x14ac:dyDescent="0.2">
      <c r="A282" t="s">
        <v>126</v>
      </c>
      <c r="B282">
        <v>45</v>
      </c>
      <c r="C282" t="s">
        <v>23</v>
      </c>
      <c r="D282" t="s">
        <v>2</v>
      </c>
      <c r="E282" t="s">
        <v>59</v>
      </c>
      <c r="F282">
        <v>0</v>
      </c>
      <c r="G282">
        <v>0</v>
      </c>
      <c r="H282">
        <v>1</v>
      </c>
      <c r="I282">
        <v>0</v>
      </c>
      <c r="J282">
        <v>1</v>
      </c>
      <c r="K282">
        <v>0.5</v>
      </c>
    </row>
    <row r="283" spans="1:11" x14ac:dyDescent="0.2">
      <c r="A283" t="s">
        <v>126</v>
      </c>
      <c r="B283">
        <v>45</v>
      </c>
      <c r="C283" t="s">
        <v>23</v>
      </c>
      <c r="D283" t="s">
        <v>6</v>
      </c>
      <c r="E283" t="s">
        <v>59</v>
      </c>
      <c r="F283">
        <v>0</v>
      </c>
      <c r="G283">
        <v>0</v>
      </c>
      <c r="H283">
        <v>1</v>
      </c>
      <c r="I283">
        <v>0</v>
      </c>
      <c r="J283">
        <v>1</v>
      </c>
      <c r="K283">
        <v>0.5</v>
      </c>
    </row>
    <row r="284" spans="1:11" x14ac:dyDescent="0.2">
      <c r="A284" t="s">
        <v>126</v>
      </c>
      <c r="B284">
        <v>45</v>
      </c>
      <c r="C284" t="s">
        <v>23</v>
      </c>
      <c r="D284" t="s">
        <v>2</v>
      </c>
      <c r="E284" t="s">
        <v>35</v>
      </c>
      <c r="F284">
        <v>0</v>
      </c>
      <c r="G284">
        <v>0</v>
      </c>
      <c r="H284">
        <v>0</v>
      </c>
      <c r="I284">
        <v>2</v>
      </c>
      <c r="J284">
        <v>2</v>
      </c>
      <c r="K284">
        <v>0.2</v>
      </c>
    </row>
    <row r="285" spans="1:11" x14ac:dyDescent="0.2">
      <c r="A285" t="s">
        <v>126</v>
      </c>
      <c r="B285">
        <v>45</v>
      </c>
      <c r="C285" t="s">
        <v>27</v>
      </c>
      <c r="D285" t="s">
        <v>2</v>
      </c>
      <c r="E285" t="s">
        <v>31</v>
      </c>
      <c r="F285">
        <v>0</v>
      </c>
      <c r="G285">
        <v>0</v>
      </c>
      <c r="H285">
        <v>8</v>
      </c>
      <c r="I285">
        <v>1</v>
      </c>
      <c r="J285">
        <v>9</v>
      </c>
      <c r="K285">
        <v>4.0999999999999996</v>
      </c>
    </row>
    <row r="286" spans="1:11" x14ac:dyDescent="0.2">
      <c r="A286" t="s">
        <v>126</v>
      </c>
      <c r="B286">
        <v>46</v>
      </c>
      <c r="C286" t="s">
        <v>4</v>
      </c>
      <c r="D286" t="s">
        <v>33</v>
      </c>
      <c r="E286" t="s">
        <v>36</v>
      </c>
      <c r="F286">
        <v>1</v>
      </c>
      <c r="G286">
        <v>1</v>
      </c>
      <c r="H286">
        <v>0</v>
      </c>
      <c r="I286">
        <v>0</v>
      </c>
      <c r="J286">
        <v>2</v>
      </c>
      <c r="K286">
        <v>1.75</v>
      </c>
    </row>
    <row r="287" spans="1:11" x14ac:dyDescent="0.2">
      <c r="A287" t="s">
        <v>126</v>
      </c>
      <c r="B287">
        <v>46</v>
      </c>
      <c r="C287" t="s">
        <v>4</v>
      </c>
      <c r="D287" t="s">
        <v>6</v>
      </c>
      <c r="E287" t="s">
        <v>45</v>
      </c>
      <c r="F287">
        <v>0</v>
      </c>
      <c r="G287">
        <v>2</v>
      </c>
      <c r="H287">
        <v>0</v>
      </c>
      <c r="I287">
        <v>1</v>
      </c>
      <c r="J287">
        <v>3</v>
      </c>
      <c r="K287">
        <v>1.6</v>
      </c>
    </row>
    <row r="288" spans="1:11" x14ac:dyDescent="0.2">
      <c r="A288" t="s">
        <v>126</v>
      </c>
      <c r="B288">
        <v>46</v>
      </c>
      <c r="C288" t="s">
        <v>1</v>
      </c>
      <c r="D288" t="s">
        <v>33</v>
      </c>
      <c r="E288" t="s">
        <v>45</v>
      </c>
      <c r="F288">
        <v>0</v>
      </c>
      <c r="G288">
        <v>2</v>
      </c>
      <c r="H288">
        <v>0</v>
      </c>
      <c r="I288">
        <v>1</v>
      </c>
      <c r="J288">
        <v>3</v>
      </c>
      <c r="K288">
        <v>1.6</v>
      </c>
    </row>
    <row r="289" spans="1:11" x14ac:dyDescent="0.2">
      <c r="A289" t="s">
        <v>126</v>
      </c>
      <c r="B289">
        <v>46</v>
      </c>
      <c r="C289" t="s">
        <v>15</v>
      </c>
      <c r="D289" t="s">
        <v>6</v>
      </c>
      <c r="E289" t="s">
        <v>17</v>
      </c>
      <c r="F289">
        <v>0</v>
      </c>
      <c r="G289">
        <v>0</v>
      </c>
      <c r="H289">
        <v>0</v>
      </c>
      <c r="I289">
        <v>1</v>
      </c>
      <c r="J289">
        <v>1</v>
      </c>
      <c r="K289">
        <v>0.1</v>
      </c>
    </row>
    <row r="290" spans="1:11" x14ac:dyDescent="0.2">
      <c r="A290" t="s">
        <v>126</v>
      </c>
      <c r="B290">
        <v>46</v>
      </c>
      <c r="C290" t="s">
        <v>18</v>
      </c>
      <c r="D290" t="s">
        <v>2</v>
      </c>
      <c r="E290" t="s">
        <v>21</v>
      </c>
      <c r="F290">
        <v>0</v>
      </c>
      <c r="G290">
        <v>0</v>
      </c>
      <c r="H290">
        <v>0</v>
      </c>
      <c r="I290">
        <v>1</v>
      </c>
      <c r="J290">
        <v>1</v>
      </c>
      <c r="K290">
        <v>0.1</v>
      </c>
    </row>
    <row r="291" spans="1:11" x14ac:dyDescent="0.2">
      <c r="A291" t="s">
        <v>126</v>
      </c>
      <c r="B291">
        <v>46</v>
      </c>
      <c r="C291" t="s">
        <v>23</v>
      </c>
      <c r="D291" t="s">
        <v>2</v>
      </c>
      <c r="E291" t="s">
        <v>26</v>
      </c>
      <c r="F291">
        <v>0</v>
      </c>
      <c r="G291">
        <v>0</v>
      </c>
      <c r="H291">
        <v>0</v>
      </c>
      <c r="I291">
        <v>1</v>
      </c>
      <c r="J291">
        <v>1</v>
      </c>
      <c r="K291">
        <v>0.1</v>
      </c>
    </row>
    <row r="292" spans="1:11" x14ac:dyDescent="0.2">
      <c r="A292" t="s">
        <v>126</v>
      </c>
      <c r="B292">
        <v>46</v>
      </c>
      <c r="C292" t="s">
        <v>27</v>
      </c>
      <c r="D292" t="s">
        <v>6</v>
      </c>
      <c r="E292" t="s">
        <v>85</v>
      </c>
      <c r="F292">
        <v>0</v>
      </c>
      <c r="G292">
        <v>0</v>
      </c>
      <c r="H292">
        <v>1</v>
      </c>
      <c r="I292">
        <v>0</v>
      </c>
      <c r="J292">
        <v>1</v>
      </c>
      <c r="K292">
        <v>0.5</v>
      </c>
    </row>
    <row r="293" spans="1:11" x14ac:dyDescent="0.2">
      <c r="A293" t="s">
        <v>126</v>
      </c>
      <c r="B293">
        <v>46</v>
      </c>
      <c r="C293" t="s">
        <v>27</v>
      </c>
      <c r="D293" t="s">
        <v>2</v>
      </c>
      <c r="E293" t="s">
        <v>31</v>
      </c>
      <c r="F293">
        <v>0</v>
      </c>
      <c r="G293">
        <v>0</v>
      </c>
      <c r="H293">
        <v>6</v>
      </c>
      <c r="I293">
        <v>0</v>
      </c>
      <c r="J293">
        <v>6</v>
      </c>
      <c r="K293">
        <v>3</v>
      </c>
    </row>
    <row r="294" spans="1:11" x14ac:dyDescent="0.2">
      <c r="A294" t="s">
        <v>126</v>
      </c>
      <c r="B294">
        <v>46</v>
      </c>
      <c r="C294" t="s">
        <v>27</v>
      </c>
      <c r="D294" t="s">
        <v>2</v>
      </c>
      <c r="E294" t="s">
        <v>86</v>
      </c>
      <c r="F294">
        <v>0</v>
      </c>
      <c r="G294">
        <v>0</v>
      </c>
      <c r="H294">
        <v>1</v>
      </c>
      <c r="I294">
        <v>1</v>
      </c>
      <c r="J294">
        <v>2</v>
      </c>
      <c r="K294">
        <v>0.6</v>
      </c>
    </row>
    <row r="295" spans="1:11" x14ac:dyDescent="0.2">
      <c r="A295" t="s">
        <v>126</v>
      </c>
      <c r="B295">
        <v>47</v>
      </c>
      <c r="C295" t="s">
        <v>27</v>
      </c>
      <c r="D295" t="s">
        <v>2</v>
      </c>
      <c r="E295" t="s">
        <v>86</v>
      </c>
      <c r="F295">
        <v>0</v>
      </c>
      <c r="G295">
        <v>0</v>
      </c>
      <c r="H295">
        <v>0</v>
      </c>
      <c r="I295">
        <v>2</v>
      </c>
      <c r="J295">
        <v>2</v>
      </c>
      <c r="K295">
        <v>0.2</v>
      </c>
    </row>
    <row r="296" spans="1:11" x14ac:dyDescent="0.2">
      <c r="A296" t="s">
        <v>126</v>
      </c>
      <c r="B296">
        <v>47</v>
      </c>
      <c r="C296" t="s">
        <v>27</v>
      </c>
      <c r="D296" t="s">
        <v>2</v>
      </c>
      <c r="E296" t="s">
        <v>73</v>
      </c>
      <c r="F296">
        <v>0</v>
      </c>
      <c r="G296">
        <v>0</v>
      </c>
      <c r="H296">
        <v>0</v>
      </c>
      <c r="I296">
        <v>3</v>
      </c>
      <c r="J296">
        <v>3</v>
      </c>
      <c r="K296">
        <v>0.3</v>
      </c>
    </row>
    <row r="297" spans="1:11" x14ac:dyDescent="0.2">
      <c r="A297" t="s">
        <v>126</v>
      </c>
      <c r="B297">
        <v>47</v>
      </c>
      <c r="C297" t="s">
        <v>27</v>
      </c>
      <c r="D297" t="s">
        <v>2</v>
      </c>
      <c r="E297" t="s">
        <v>83</v>
      </c>
      <c r="F297">
        <v>0</v>
      </c>
      <c r="G297">
        <v>0</v>
      </c>
      <c r="H297">
        <v>4</v>
      </c>
      <c r="I297">
        <v>0</v>
      </c>
      <c r="J297">
        <v>4</v>
      </c>
      <c r="K297">
        <v>2</v>
      </c>
    </row>
    <row r="298" spans="1:11" x14ac:dyDescent="0.2">
      <c r="A298" t="s">
        <v>126</v>
      </c>
      <c r="B298">
        <v>47</v>
      </c>
      <c r="C298" t="s">
        <v>27</v>
      </c>
      <c r="D298" t="s">
        <v>6</v>
      </c>
      <c r="E298" t="s">
        <v>83</v>
      </c>
      <c r="F298">
        <v>0</v>
      </c>
      <c r="G298">
        <v>0</v>
      </c>
      <c r="H298">
        <v>4</v>
      </c>
      <c r="I298">
        <v>0</v>
      </c>
      <c r="J298">
        <v>4</v>
      </c>
      <c r="K298">
        <v>2</v>
      </c>
    </row>
    <row r="299" spans="1:11" x14ac:dyDescent="0.2">
      <c r="A299" t="s">
        <v>126</v>
      </c>
      <c r="B299">
        <v>48</v>
      </c>
      <c r="C299" t="s">
        <v>15</v>
      </c>
      <c r="D299" t="s">
        <v>2</v>
      </c>
      <c r="E299" t="s">
        <v>16</v>
      </c>
      <c r="F299">
        <v>0</v>
      </c>
      <c r="G299">
        <v>0</v>
      </c>
      <c r="H299">
        <v>5</v>
      </c>
      <c r="I299">
        <v>0</v>
      </c>
      <c r="J299">
        <v>5</v>
      </c>
      <c r="K299">
        <v>2.5</v>
      </c>
    </row>
    <row r="300" spans="1:11" x14ac:dyDescent="0.2">
      <c r="A300" t="s">
        <v>126</v>
      </c>
      <c r="B300">
        <v>48</v>
      </c>
      <c r="C300" t="s">
        <v>18</v>
      </c>
      <c r="D300" t="s">
        <v>2</v>
      </c>
      <c r="E300" t="s">
        <v>21</v>
      </c>
      <c r="F300">
        <v>0</v>
      </c>
      <c r="G300">
        <v>0</v>
      </c>
      <c r="H300">
        <v>0</v>
      </c>
      <c r="I300">
        <v>4</v>
      </c>
      <c r="J300">
        <v>4</v>
      </c>
      <c r="K300">
        <v>0.4</v>
      </c>
    </row>
    <row r="301" spans="1:11" x14ac:dyDescent="0.2">
      <c r="A301" t="s">
        <v>126</v>
      </c>
      <c r="B301">
        <v>48</v>
      </c>
      <c r="C301" t="s">
        <v>18</v>
      </c>
      <c r="D301" t="s">
        <v>2</v>
      </c>
      <c r="E301" t="s">
        <v>54</v>
      </c>
      <c r="F301">
        <v>0</v>
      </c>
      <c r="G301">
        <v>0</v>
      </c>
      <c r="H301">
        <v>0</v>
      </c>
      <c r="I301">
        <v>4</v>
      </c>
      <c r="J301">
        <v>4</v>
      </c>
      <c r="K301">
        <v>0.4</v>
      </c>
    </row>
    <row r="302" spans="1:11" x14ac:dyDescent="0.2">
      <c r="A302" t="s">
        <v>126</v>
      </c>
      <c r="B302">
        <v>48</v>
      </c>
      <c r="C302" t="s">
        <v>23</v>
      </c>
      <c r="D302" t="s">
        <v>33</v>
      </c>
      <c r="E302" t="s">
        <v>40</v>
      </c>
      <c r="F302">
        <v>0</v>
      </c>
      <c r="G302">
        <v>1</v>
      </c>
      <c r="H302">
        <v>1</v>
      </c>
      <c r="I302">
        <v>0</v>
      </c>
      <c r="J302">
        <v>2</v>
      </c>
      <c r="K302">
        <v>1.25</v>
      </c>
    </row>
    <row r="303" spans="1:11" x14ac:dyDescent="0.2">
      <c r="A303" t="s">
        <v>126</v>
      </c>
      <c r="B303">
        <v>48</v>
      </c>
      <c r="C303" t="s">
        <v>23</v>
      </c>
      <c r="D303" t="s">
        <v>2</v>
      </c>
      <c r="E303" t="s">
        <v>35</v>
      </c>
      <c r="F303">
        <v>0</v>
      </c>
      <c r="G303">
        <v>1</v>
      </c>
      <c r="H303">
        <v>0</v>
      </c>
      <c r="I303">
        <v>0</v>
      </c>
      <c r="J303">
        <v>1</v>
      </c>
      <c r="K303">
        <v>0.75</v>
      </c>
    </row>
    <row r="304" spans="1:11" x14ac:dyDescent="0.2">
      <c r="A304" t="s">
        <v>126</v>
      </c>
      <c r="B304">
        <v>48</v>
      </c>
      <c r="C304" t="s">
        <v>27</v>
      </c>
      <c r="D304" t="s">
        <v>6</v>
      </c>
      <c r="E304" t="s">
        <v>85</v>
      </c>
      <c r="F304">
        <v>1</v>
      </c>
      <c r="G304">
        <v>1</v>
      </c>
      <c r="H304">
        <v>0</v>
      </c>
      <c r="I304">
        <v>0</v>
      </c>
      <c r="J304">
        <v>2</v>
      </c>
      <c r="K304">
        <v>1.75</v>
      </c>
    </row>
    <row r="305" spans="1:11" x14ac:dyDescent="0.2">
      <c r="A305" t="s">
        <v>126</v>
      </c>
      <c r="B305">
        <v>48</v>
      </c>
      <c r="C305" t="s">
        <v>27</v>
      </c>
      <c r="D305" t="s">
        <v>2</v>
      </c>
      <c r="E305" t="s">
        <v>31</v>
      </c>
      <c r="F305">
        <v>0</v>
      </c>
      <c r="G305">
        <v>0</v>
      </c>
      <c r="H305">
        <v>3</v>
      </c>
      <c r="I305">
        <v>0</v>
      </c>
      <c r="J305">
        <v>3</v>
      </c>
      <c r="K305">
        <v>1.5</v>
      </c>
    </row>
    <row r="306" spans="1:11" x14ac:dyDescent="0.2">
      <c r="A306" t="s">
        <v>126</v>
      </c>
      <c r="B306">
        <v>48</v>
      </c>
      <c r="C306" t="s">
        <v>27</v>
      </c>
      <c r="D306" t="s">
        <v>2</v>
      </c>
      <c r="E306" t="s">
        <v>86</v>
      </c>
      <c r="F306">
        <v>0</v>
      </c>
      <c r="G306">
        <v>0</v>
      </c>
      <c r="H306">
        <v>1</v>
      </c>
      <c r="I306">
        <v>3</v>
      </c>
      <c r="J306">
        <v>4</v>
      </c>
      <c r="K306">
        <v>0.8</v>
      </c>
    </row>
    <row r="307" spans="1:11" x14ac:dyDescent="0.2">
      <c r="A307" t="s">
        <v>126</v>
      </c>
      <c r="B307">
        <v>48</v>
      </c>
      <c r="C307" t="s">
        <v>27</v>
      </c>
      <c r="D307" t="s">
        <v>6</v>
      </c>
      <c r="E307" t="s">
        <v>72</v>
      </c>
      <c r="F307">
        <v>2</v>
      </c>
      <c r="G307">
        <v>0</v>
      </c>
      <c r="H307">
        <v>0</v>
      </c>
      <c r="I307">
        <v>0</v>
      </c>
      <c r="J307">
        <v>2</v>
      </c>
      <c r="K307">
        <v>2</v>
      </c>
    </row>
    <row r="308" spans="1:11" x14ac:dyDescent="0.2">
      <c r="A308" t="s">
        <v>126</v>
      </c>
      <c r="B308">
        <v>49</v>
      </c>
      <c r="C308" t="s">
        <v>4</v>
      </c>
      <c r="D308" t="s">
        <v>6</v>
      </c>
      <c r="E308" t="s">
        <v>45</v>
      </c>
      <c r="F308">
        <v>0</v>
      </c>
      <c r="G308">
        <v>0</v>
      </c>
      <c r="H308">
        <v>2</v>
      </c>
      <c r="I308">
        <v>0</v>
      </c>
      <c r="J308">
        <v>2</v>
      </c>
      <c r="K308">
        <v>1.1000000000000001</v>
      </c>
    </row>
    <row r="309" spans="1:11" x14ac:dyDescent="0.2">
      <c r="A309" t="s">
        <v>126</v>
      </c>
      <c r="B309">
        <v>49</v>
      </c>
      <c r="C309" t="s">
        <v>4</v>
      </c>
      <c r="D309" t="s">
        <v>2</v>
      </c>
      <c r="E309" t="s">
        <v>32</v>
      </c>
      <c r="F309">
        <v>0</v>
      </c>
      <c r="G309">
        <v>0</v>
      </c>
      <c r="H309">
        <v>0</v>
      </c>
      <c r="I309">
        <v>1</v>
      </c>
      <c r="J309">
        <v>1</v>
      </c>
      <c r="K309">
        <v>0.1</v>
      </c>
    </row>
    <row r="310" spans="1:11" x14ac:dyDescent="0.2">
      <c r="A310" t="s">
        <v>126</v>
      </c>
      <c r="B310">
        <v>49</v>
      </c>
      <c r="C310" t="s">
        <v>1</v>
      </c>
      <c r="D310" t="s">
        <v>33</v>
      </c>
      <c r="E310" t="s">
        <v>45</v>
      </c>
      <c r="F310">
        <v>0</v>
      </c>
      <c r="G310">
        <v>0</v>
      </c>
      <c r="H310">
        <v>2</v>
      </c>
      <c r="I310">
        <v>0</v>
      </c>
      <c r="J310">
        <v>2</v>
      </c>
      <c r="K310">
        <v>1.1000000000000001</v>
      </c>
    </row>
    <row r="311" spans="1:11" x14ac:dyDescent="0.2">
      <c r="A311" t="s">
        <v>126</v>
      </c>
      <c r="B311">
        <v>49</v>
      </c>
      <c r="C311" t="s">
        <v>18</v>
      </c>
      <c r="D311" t="s">
        <v>2</v>
      </c>
      <c r="E311" t="s">
        <v>21</v>
      </c>
      <c r="F311">
        <v>0</v>
      </c>
      <c r="G311">
        <v>0</v>
      </c>
      <c r="H311">
        <v>0</v>
      </c>
      <c r="I311">
        <v>1</v>
      </c>
      <c r="J311">
        <v>1</v>
      </c>
      <c r="K311">
        <v>0.1</v>
      </c>
    </row>
    <row r="312" spans="1:11" x14ac:dyDescent="0.2">
      <c r="A312" t="s">
        <v>126</v>
      </c>
      <c r="B312">
        <v>49</v>
      </c>
      <c r="C312" t="s">
        <v>18</v>
      </c>
      <c r="D312" t="s">
        <v>2</v>
      </c>
      <c r="E312" t="s">
        <v>54</v>
      </c>
      <c r="F312">
        <v>0</v>
      </c>
      <c r="G312">
        <v>0</v>
      </c>
      <c r="H312">
        <v>0</v>
      </c>
      <c r="I312">
        <v>1</v>
      </c>
      <c r="J312">
        <v>1</v>
      </c>
      <c r="K312">
        <v>0.1</v>
      </c>
    </row>
    <row r="313" spans="1:11" x14ac:dyDescent="0.2">
      <c r="A313" t="s">
        <v>126</v>
      </c>
      <c r="B313">
        <v>49</v>
      </c>
      <c r="C313" t="s">
        <v>23</v>
      </c>
      <c r="D313" t="s">
        <v>33</v>
      </c>
      <c r="E313" t="s">
        <v>34</v>
      </c>
      <c r="F313">
        <v>0</v>
      </c>
      <c r="G313">
        <v>0</v>
      </c>
      <c r="H313">
        <v>1</v>
      </c>
      <c r="I313">
        <v>0</v>
      </c>
      <c r="J313">
        <v>1</v>
      </c>
      <c r="K313">
        <v>0.6</v>
      </c>
    </row>
    <row r="314" spans="1:11" x14ac:dyDescent="0.2">
      <c r="A314" t="s">
        <v>126</v>
      </c>
      <c r="B314">
        <v>49</v>
      </c>
      <c r="C314" t="s">
        <v>27</v>
      </c>
      <c r="D314" t="s">
        <v>2</v>
      </c>
      <c r="E314" t="s">
        <v>86</v>
      </c>
      <c r="F314">
        <v>0</v>
      </c>
      <c r="G314">
        <v>0</v>
      </c>
      <c r="H314">
        <v>0</v>
      </c>
      <c r="I314">
        <v>1</v>
      </c>
      <c r="J314">
        <v>1</v>
      </c>
      <c r="K314">
        <v>0.1</v>
      </c>
    </row>
    <row r="315" spans="1:11" x14ac:dyDescent="0.2">
      <c r="A315" t="s">
        <v>126</v>
      </c>
      <c r="B315">
        <v>50</v>
      </c>
      <c r="C315" t="s">
        <v>15</v>
      </c>
      <c r="D315" t="s">
        <v>2</v>
      </c>
      <c r="E315" t="s">
        <v>16</v>
      </c>
      <c r="F315">
        <v>0</v>
      </c>
      <c r="G315">
        <v>0</v>
      </c>
      <c r="H315">
        <v>3</v>
      </c>
      <c r="I315">
        <v>0</v>
      </c>
      <c r="J315">
        <v>3</v>
      </c>
      <c r="K315">
        <v>1.5</v>
      </c>
    </row>
    <row r="316" spans="1:11" x14ac:dyDescent="0.2">
      <c r="A316" t="s">
        <v>126</v>
      </c>
      <c r="B316">
        <v>50</v>
      </c>
      <c r="C316" t="s">
        <v>27</v>
      </c>
      <c r="D316" t="s">
        <v>2</v>
      </c>
      <c r="E316" t="s">
        <v>31</v>
      </c>
      <c r="F316">
        <v>2</v>
      </c>
      <c r="G316">
        <v>0</v>
      </c>
      <c r="H316">
        <v>2</v>
      </c>
      <c r="I316">
        <v>0</v>
      </c>
      <c r="J316">
        <v>4</v>
      </c>
      <c r="K316">
        <v>3</v>
      </c>
    </row>
    <row r="317" spans="1:11" x14ac:dyDescent="0.2">
      <c r="A317" t="s">
        <v>126</v>
      </c>
      <c r="B317">
        <v>50</v>
      </c>
      <c r="C317" t="s">
        <v>27</v>
      </c>
      <c r="D317" t="s">
        <v>2</v>
      </c>
      <c r="E317" t="s">
        <v>86</v>
      </c>
      <c r="F317">
        <v>0</v>
      </c>
      <c r="G317">
        <v>1</v>
      </c>
      <c r="H317">
        <v>0</v>
      </c>
      <c r="I317">
        <v>0</v>
      </c>
      <c r="J317">
        <v>1</v>
      </c>
      <c r="K317">
        <v>0.75</v>
      </c>
    </row>
    <row r="318" spans="1:11" x14ac:dyDescent="0.2">
      <c r="A318" t="s">
        <v>126</v>
      </c>
      <c r="B318">
        <v>50</v>
      </c>
      <c r="C318" t="s">
        <v>27</v>
      </c>
      <c r="D318" t="s">
        <v>6</v>
      </c>
      <c r="E318" t="s">
        <v>72</v>
      </c>
      <c r="F318">
        <v>1</v>
      </c>
      <c r="G318">
        <v>0</v>
      </c>
      <c r="H318">
        <v>1</v>
      </c>
      <c r="I318">
        <v>0</v>
      </c>
      <c r="J318">
        <v>2</v>
      </c>
      <c r="K318">
        <v>1.5</v>
      </c>
    </row>
    <row r="319" spans="1:11" x14ac:dyDescent="0.2">
      <c r="A319" t="s">
        <v>126</v>
      </c>
      <c r="B319">
        <v>51</v>
      </c>
      <c r="C319" t="s">
        <v>4</v>
      </c>
      <c r="D319" t="s">
        <v>6</v>
      </c>
      <c r="E319" t="s">
        <v>45</v>
      </c>
      <c r="F319">
        <v>0</v>
      </c>
      <c r="G319">
        <v>2</v>
      </c>
      <c r="H319">
        <v>1</v>
      </c>
      <c r="I319">
        <v>1</v>
      </c>
      <c r="J319">
        <v>4</v>
      </c>
      <c r="K319">
        <v>2.1</v>
      </c>
    </row>
    <row r="320" spans="1:11" x14ac:dyDescent="0.2">
      <c r="A320" t="s">
        <v>126</v>
      </c>
      <c r="B320">
        <v>51</v>
      </c>
      <c r="C320" t="s">
        <v>1</v>
      </c>
      <c r="D320" t="s">
        <v>33</v>
      </c>
      <c r="E320" t="s">
        <v>45</v>
      </c>
      <c r="F320">
        <v>0</v>
      </c>
      <c r="G320">
        <v>2</v>
      </c>
      <c r="H320">
        <v>1</v>
      </c>
      <c r="I320">
        <v>1</v>
      </c>
      <c r="J320">
        <v>4</v>
      </c>
      <c r="K320">
        <v>2.1</v>
      </c>
    </row>
    <row r="321" spans="1:11" x14ac:dyDescent="0.2">
      <c r="A321" t="s">
        <v>126</v>
      </c>
      <c r="B321">
        <v>51</v>
      </c>
      <c r="C321" t="s">
        <v>18</v>
      </c>
      <c r="D321" t="s">
        <v>2</v>
      </c>
      <c r="E321" t="s">
        <v>21</v>
      </c>
      <c r="F321">
        <v>0</v>
      </c>
      <c r="G321">
        <v>0</v>
      </c>
      <c r="H321">
        <v>0</v>
      </c>
      <c r="I321">
        <v>1</v>
      </c>
      <c r="J321">
        <v>1</v>
      </c>
      <c r="K321">
        <v>0.1</v>
      </c>
    </row>
    <row r="322" spans="1:11" x14ac:dyDescent="0.2">
      <c r="A322" t="s">
        <v>126</v>
      </c>
      <c r="B322">
        <v>51</v>
      </c>
      <c r="C322" t="s">
        <v>18</v>
      </c>
      <c r="D322" t="s">
        <v>2</v>
      </c>
      <c r="E322" t="s">
        <v>54</v>
      </c>
      <c r="F322">
        <v>0</v>
      </c>
      <c r="G322">
        <v>0</v>
      </c>
      <c r="H322">
        <v>0</v>
      </c>
      <c r="I322">
        <v>1</v>
      </c>
      <c r="J322">
        <v>1</v>
      </c>
      <c r="K322">
        <v>0.1</v>
      </c>
    </row>
    <row r="323" spans="1:11" x14ac:dyDescent="0.2">
      <c r="A323" t="s">
        <v>126</v>
      </c>
      <c r="B323">
        <v>51</v>
      </c>
      <c r="C323" t="s">
        <v>23</v>
      </c>
      <c r="D323" t="s">
        <v>2</v>
      </c>
      <c r="E323" t="s">
        <v>35</v>
      </c>
      <c r="F323">
        <v>0</v>
      </c>
      <c r="G323">
        <v>0</v>
      </c>
      <c r="H323">
        <v>1</v>
      </c>
      <c r="I323">
        <v>0</v>
      </c>
      <c r="J323">
        <v>1</v>
      </c>
      <c r="K323">
        <v>0.5</v>
      </c>
    </row>
    <row r="324" spans="1:11" x14ac:dyDescent="0.2">
      <c r="A324" t="s">
        <v>126</v>
      </c>
      <c r="B324">
        <v>51</v>
      </c>
      <c r="C324" t="s">
        <v>27</v>
      </c>
      <c r="D324" t="s">
        <v>6</v>
      </c>
      <c r="E324" t="s">
        <v>84</v>
      </c>
      <c r="F324">
        <v>0</v>
      </c>
      <c r="G324">
        <v>2</v>
      </c>
      <c r="H324">
        <v>0</v>
      </c>
      <c r="I324">
        <v>0</v>
      </c>
      <c r="J324">
        <v>2</v>
      </c>
      <c r="K324">
        <v>1.5</v>
      </c>
    </row>
    <row r="325" spans="1:11" x14ac:dyDescent="0.2">
      <c r="A325" t="s">
        <v>126</v>
      </c>
      <c r="B325">
        <v>51</v>
      </c>
      <c r="C325" t="s">
        <v>27</v>
      </c>
      <c r="D325" t="s">
        <v>2</v>
      </c>
      <c r="E325" t="s">
        <v>31</v>
      </c>
      <c r="F325">
        <v>0</v>
      </c>
      <c r="G325">
        <v>0</v>
      </c>
      <c r="H325">
        <v>4</v>
      </c>
      <c r="I325">
        <v>0</v>
      </c>
      <c r="J325">
        <v>4</v>
      </c>
      <c r="K325">
        <v>2</v>
      </c>
    </row>
    <row r="326" spans="1:11" x14ac:dyDescent="0.2">
      <c r="A326" t="s">
        <v>126</v>
      </c>
      <c r="B326">
        <v>51</v>
      </c>
      <c r="C326" t="s">
        <v>27</v>
      </c>
      <c r="D326" t="s">
        <v>6</v>
      </c>
      <c r="E326" t="s">
        <v>55</v>
      </c>
      <c r="F326">
        <v>0</v>
      </c>
      <c r="G326">
        <v>0</v>
      </c>
      <c r="H326">
        <v>1</v>
      </c>
      <c r="I326">
        <v>0</v>
      </c>
      <c r="J326">
        <v>1</v>
      </c>
      <c r="K326">
        <v>0.5</v>
      </c>
    </row>
    <row r="327" spans="1:11" x14ac:dyDescent="0.2">
      <c r="A327" t="s">
        <v>126</v>
      </c>
      <c r="B327">
        <v>51</v>
      </c>
      <c r="C327" t="s">
        <v>27</v>
      </c>
      <c r="D327" t="s">
        <v>2</v>
      </c>
      <c r="E327" t="s">
        <v>83</v>
      </c>
      <c r="F327">
        <v>0</v>
      </c>
      <c r="G327">
        <v>0</v>
      </c>
      <c r="H327">
        <v>1</v>
      </c>
      <c r="I327">
        <v>0</v>
      </c>
      <c r="J327">
        <v>1</v>
      </c>
      <c r="K327">
        <v>0.5</v>
      </c>
    </row>
    <row r="328" spans="1:11" x14ac:dyDescent="0.2">
      <c r="A328" t="s">
        <v>126</v>
      </c>
      <c r="B328">
        <v>51</v>
      </c>
      <c r="C328" t="s">
        <v>27</v>
      </c>
      <c r="D328" t="s">
        <v>6</v>
      </c>
      <c r="E328" t="s">
        <v>83</v>
      </c>
      <c r="F328">
        <v>0</v>
      </c>
      <c r="G328">
        <v>0</v>
      </c>
      <c r="H328">
        <v>1</v>
      </c>
      <c r="I328">
        <v>0</v>
      </c>
      <c r="J328">
        <v>1</v>
      </c>
      <c r="K328">
        <v>0.5</v>
      </c>
    </row>
    <row r="329" spans="1:11" x14ac:dyDescent="0.2">
      <c r="A329" t="s">
        <v>126</v>
      </c>
      <c r="B329">
        <v>52</v>
      </c>
      <c r="C329" t="s">
        <v>4</v>
      </c>
      <c r="D329" t="s">
        <v>2</v>
      </c>
      <c r="E329" t="s">
        <v>75</v>
      </c>
      <c r="F329">
        <v>0</v>
      </c>
      <c r="G329">
        <v>0</v>
      </c>
      <c r="H329">
        <v>1</v>
      </c>
      <c r="I329">
        <v>0</v>
      </c>
      <c r="J329">
        <v>1</v>
      </c>
      <c r="K329">
        <v>0.5</v>
      </c>
    </row>
    <row r="330" spans="1:11" x14ac:dyDescent="0.2">
      <c r="A330" t="s">
        <v>126</v>
      </c>
      <c r="B330">
        <v>52</v>
      </c>
      <c r="C330" t="s">
        <v>4</v>
      </c>
      <c r="D330" t="s">
        <v>6</v>
      </c>
      <c r="E330" t="s">
        <v>106</v>
      </c>
      <c r="F330">
        <v>0</v>
      </c>
      <c r="G330">
        <v>0</v>
      </c>
      <c r="H330">
        <v>1</v>
      </c>
      <c r="I330">
        <v>0</v>
      </c>
      <c r="J330">
        <v>1</v>
      </c>
      <c r="K330">
        <v>0.5</v>
      </c>
    </row>
    <row r="331" spans="1:11" x14ac:dyDescent="0.2">
      <c r="A331" t="s">
        <v>126</v>
      </c>
      <c r="B331">
        <v>52</v>
      </c>
      <c r="C331" t="s">
        <v>4</v>
      </c>
      <c r="D331" t="s">
        <v>2</v>
      </c>
      <c r="E331" t="s">
        <v>32</v>
      </c>
      <c r="F331">
        <v>0</v>
      </c>
      <c r="G331">
        <v>0</v>
      </c>
      <c r="H331">
        <v>0</v>
      </c>
      <c r="I331">
        <v>4</v>
      </c>
      <c r="J331">
        <v>4</v>
      </c>
      <c r="K331">
        <v>0.4</v>
      </c>
    </row>
    <row r="332" spans="1:11" x14ac:dyDescent="0.2">
      <c r="A332" t="s">
        <v>126</v>
      </c>
      <c r="B332">
        <v>52</v>
      </c>
      <c r="C332" t="s">
        <v>11</v>
      </c>
      <c r="D332" t="s">
        <v>2</v>
      </c>
      <c r="E332" t="s">
        <v>76</v>
      </c>
      <c r="F332">
        <v>0</v>
      </c>
      <c r="G332">
        <v>0</v>
      </c>
      <c r="H332">
        <v>0</v>
      </c>
      <c r="I332">
        <v>1</v>
      </c>
      <c r="J332">
        <v>1</v>
      </c>
      <c r="K332">
        <v>0.1</v>
      </c>
    </row>
    <row r="333" spans="1:11" x14ac:dyDescent="0.2">
      <c r="A333" t="s">
        <v>126</v>
      </c>
      <c r="B333">
        <v>52</v>
      </c>
      <c r="C333" t="s">
        <v>15</v>
      </c>
      <c r="D333" t="s">
        <v>2</v>
      </c>
      <c r="E333" t="s">
        <v>16</v>
      </c>
      <c r="F333">
        <v>0</v>
      </c>
      <c r="G333">
        <v>0</v>
      </c>
      <c r="H333">
        <v>0</v>
      </c>
      <c r="I333">
        <v>2</v>
      </c>
      <c r="J333">
        <v>2</v>
      </c>
      <c r="K333">
        <v>0.2</v>
      </c>
    </row>
    <row r="334" spans="1:11" x14ac:dyDescent="0.2">
      <c r="A334" t="s">
        <v>126</v>
      </c>
      <c r="B334">
        <v>52</v>
      </c>
      <c r="C334" t="s">
        <v>15</v>
      </c>
      <c r="D334" t="s">
        <v>2</v>
      </c>
      <c r="E334" t="s">
        <v>130</v>
      </c>
      <c r="F334">
        <v>1</v>
      </c>
      <c r="G334">
        <v>0</v>
      </c>
      <c r="H334">
        <v>0</v>
      </c>
      <c r="I334">
        <v>0</v>
      </c>
      <c r="J334">
        <v>1</v>
      </c>
      <c r="K334">
        <v>1</v>
      </c>
    </row>
    <row r="335" spans="1:11" x14ac:dyDescent="0.2">
      <c r="A335" t="s">
        <v>126</v>
      </c>
      <c r="B335">
        <v>52</v>
      </c>
      <c r="C335" t="s">
        <v>23</v>
      </c>
      <c r="D335" t="s">
        <v>33</v>
      </c>
      <c r="E335" t="s">
        <v>34</v>
      </c>
      <c r="F335">
        <v>0</v>
      </c>
      <c r="G335">
        <v>0</v>
      </c>
      <c r="H335">
        <v>2</v>
      </c>
      <c r="I335">
        <v>2</v>
      </c>
      <c r="J335">
        <v>4</v>
      </c>
      <c r="K335">
        <v>1.4</v>
      </c>
    </row>
    <row r="336" spans="1:11" x14ac:dyDescent="0.2">
      <c r="A336" t="s">
        <v>126</v>
      </c>
      <c r="B336">
        <v>52</v>
      </c>
      <c r="C336" t="s">
        <v>27</v>
      </c>
      <c r="D336" t="s">
        <v>6</v>
      </c>
      <c r="E336" t="s">
        <v>84</v>
      </c>
      <c r="F336">
        <v>0</v>
      </c>
      <c r="G336">
        <v>1</v>
      </c>
      <c r="H336">
        <v>3</v>
      </c>
      <c r="I336">
        <v>0</v>
      </c>
      <c r="J336">
        <v>4</v>
      </c>
      <c r="K336">
        <v>2.25</v>
      </c>
    </row>
    <row r="337" spans="1:11" x14ac:dyDescent="0.2">
      <c r="A337" t="s">
        <v>126</v>
      </c>
      <c r="B337">
        <v>52</v>
      </c>
      <c r="C337" t="s">
        <v>27</v>
      </c>
      <c r="D337" t="s">
        <v>6</v>
      </c>
      <c r="E337" t="s">
        <v>85</v>
      </c>
      <c r="F337">
        <v>0</v>
      </c>
      <c r="G337">
        <v>0</v>
      </c>
      <c r="H337">
        <v>0</v>
      </c>
      <c r="I337">
        <v>1</v>
      </c>
      <c r="J337">
        <v>1</v>
      </c>
      <c r="K337">
        <v>0.1</v>
      </c>
    </row>
    <row r="338" spans="1:11" x14ac:dyDescent="0.2">
      <c r="A338" t="s">
        <v>126</v>
      </c>
      <c r="B338">
        <v>52</v>
      </c>
      <c r="C338" t="s">
        <v>27</v>
      </c>
      <c r="D338" t="s">
        <v>2</v>
      </c>
      <c r="E338" t="s">
        <v>31</v>
      </c>
      <c r="F338">
        <v>0</v>
      </c>
      <c r="G338">
        <v>0</v>
      </c>
      <c r="H338">
        <v>0</v>
      </c>
      <c r="I338">
        <v>1</v>
      </c>
      <c r="J338">
        <v>1</v>
      </c>
      <c r="K338">
        <v>0.1</v>
      </c>
    </row>
    <row r="339" spans="1:11" x14ac:dyDescent="0.2">
      <c r="A339" t="s">
        <v>126</v>
      </c>
      <c r="B339">
        <v>52</v>
      </c>
      <c r="C339" t="s">
        <v>27</v>
      </c>
      <c r="D339" t="s">
        <v>2</v>
      </c>
      <c r="E339" t="s">
        <v>86</v>
      </c>
      <c r="F339">
        <v>0</v>
      </c>
      <c r="G339">
        <v>0</v>
      </c>
      <c r="H339">
        <v>0</v>
      </c>
      <c r="I339">
        <v>2</v>
      </c>
      <c r="J339">
        <v>2</v>
      </c>
      <c r="K339">
        <v>0.2</v>
      </c>
    </row>
    <row r="340" spans="1:11" x14ac:dyDescent="0.2">
      <c r="A340" t="s">
        <v>126</v>
      </c>
      <c r="B340">
        <v>52</v>
      </c>
      <c r="C340" t="s">
        <v>27</v>
      </c>
      <c r="D340" t="s">
        <v>6</v>
      </c>
      <c r="E340" t="s">
        <v>72</v>
      </c>
      <c r="F340">
        <v>0</v>
      </c>
      <c r="G340">
        <v>0</v>
      </c>
      <c r="H340">
        <v>2</v>
      </c>
      <c r="I340">
        <v>0</v>
      </c>
      <c r="J340">
        <v>2</v>
      </c>
      <c r="K340">
        <v>1</v>
      </c>
    </row>
    <row r="341" spans="1:11" x14ac:dyDescent="0.2">
      <c r="A341" t="s">
        <v>126</v>
      </c>
      <c r="B341">
        <v>52</v>
      </c>
      <c r="C341" t="s">
        <v>27</v>
      </c>
      <c r="D341" t="s">
        <v>2</v>
      </c>
      <c r="E341" t="s">
        <v>106</v>
      </c>
      <c r="F341">
        <v>0</v>
      </c>
      <c r="G341">
        <v>0</v>
      </c>
      <c r="H341">
        <v>1</v>
      </c>
      <c r="I341">
        <v>0</v>
      </c>
      <c r="J341">
        <v>1</v>
      </c>
      <c r="K341">
        <v>0.5</v>
      </c>
    </row>
    <row r="342" spans="1:11" x14ac:dyDescent="0.2">
      <c r="A342" t="s">
        <v>126</v>
      </c>
      <c r="B342">
        <v>52</v>
      </c>
      <c r="C342" t="s">
        <v>27</v>
      </c>
      <c r="D342" t="s">
        <v>2</v>
      </c>
      <c r="E342" t="s">
        <v>83</v>
      </c>
      <c r="F342">
        <v>0</v>
      </c>
      <c r="G342">
        <v>0</v>
      </c>
      <c r="H342">
        <v>3</v>
      </c>
      <c r="I342">
        <v>1</v>
      </c>
      <c r="J342">
        <v>4</v>
      </c>
      <c r="K342">
        <v>1.6</v>
      </c>
    </row>
    <row r="343" spans="1:11" x14ac:dyDescent="0.2">
      <c r="A343" t="s">
        <v>126</v>
      </c>
      <c r="B343">
        <v>52</v>
      </c>
      <c r="C343" t="s">
        <v>27</v>
      </c>
      <c r="D343" t="s">
        <v>6</v>
      </c>
      <c r="E343" t="s">
        <v>83</v>
      </c>
      <c r="F343">
        <v>0</v>
      </c>
      <c r="G343">
        <v>0</v>
      </c>
      <c r="H343">
        <v>3</v>
      </c>
      <c r="I343">
        <v>1</v>
      </c>
      <c r="J343">
        <v>4</v>
      </c>
      <c r="K343">
        <v>1.6</v>
      </c>
    </row>
    <row r="344" spans="1:11" x14ac:dyDescent="0.2">
      <c r="A344" t="s">
        <v>126</v>
      </c>
      <c r="B344">
        <v>52</v>
      </c>
      <c r="C344" t="s">
        <v>27</v>
      </c>
      <c r="D344" t="s">
        <v>2</v>
      </c>
      <c r="E344" t="s">
        <v>102</v>
      </c>
      <c r="F344">
        <v>0</v>
      </c>
      <c r="G344">
        <v>0</v>
      </c>
      <c r="H344">
        <v>1</v>
      </c>
      <c r="I344">
        <v>0</v>
      </c>
      <c r="J344">
        <v>1</v>
      </c>
      <c r="K344">
        <v>0.5</v>
      </c>
    </row>
    <row r="345" spans="1:11" x14ac:dyDescent="0.2">
      <c r="A345" t="s">
        <v>126</v>
      </c>
      <c r="B345">
        <v>52</v>
      </c>
      <c r="C345" t="s">
        <v>27</v>
      </c>
      <c r="D345" t="s">
        <v>6</v>
      </c>
      <c r="E345" t="s">
        <v>102</v>
      </c>
      <c r="F345">
        <v>0</v>
      </c>
      <c r="G345">
        <v>0</v>
      </c>
      <c r="H345">
        <v>1</v>
      </c>
      <c r="I345">
        <v>0</v>
      </c>
      <c r="J345">
        <v>1</v>
      </c>
      <c r="K345">
        <v>0.5</v>
      </c>
    </row>
    <row r="346" spans="1:11" x14ac:dyDescent="0.2">
      <c r="A346" t="s">
        <v>126</v>
      </c>
      <c r="B346">
        <v>53</v>
      </c>
      <c r="C346" t="s">
        <v>4</v>
      </c>
      <c r="D346" t="s">
        <v>2</v>
      </c>
      <c r="E346" t="s">
        <v>32</v>
      </c>
      <c r="F346">
        <v>0</v>
      </c>
      <c r="G346">
        <v>0</v>
      </c>
      <c r="H346">
        <v>0</v>
      </c>
      <c r="I346">
        <v>2</v>
      </c>
      <c r="J346">
        <v>2</v>
      </c>
      <c r="K346">
        <v>0.2</v>
      </c>
    </row>
    <row r="347" spans="1:11" x14ac:dyDescent="0.2">
      <c r="A347" t="s">
        <v>126</v>
      </c>
      <c r="B347">
        <v>53</v>
      </c>
      <c r="C347" t="s">
        <v>15</v>
      </c>
      <c r="D347" t="s">
        <v>2</v>
      </c>
      <c r="E347" t="s">
        <v>46</v>
      </c>
      <c r="F347">
        <v>1</v>
      </c>
      <c r="G347">
        <v>0</v>
      </c>
      <c r="H347">
        <v>0</v>
      </c>
      <c r="I347">
        <v>0</v>
      </c>
      <c r="J347">
        <v>1</v>
      </c>
      <c r="K347">
        <v>1</v>
      </c>
    </row>
    <row r="348" spans="1:11" x14ac:dyDescent="0.2">
      <c r="A348" t="s">
        <v>126</v>
      </c>
      <c r="B348">
        <v>53</v>
      </c>
      <c r="C348" t="s">
        <v>15</v>
      </c>
      <c r="D348" t="s">
        <v>6</v>
      </c>
      <c r="E348" t="s">
        <v>17</v>
      </c>
      <c r="F348">
        <v>1</v>
      </c>
      <c r="G348">
        <v>0</v>
      </c>
      <c r="H348">
        <v>0</v>
      </c>
      <c r="I348">
        <v>0</v>
      </c>
      <c r="J348">
        <v>1</v>
      </c>
      <c r="K348">
        <v>1</v>
      </c>
    </row>
    <row r="349" spans="1:11" x14ac:dyDescent="0.2">
      <c r="A349" t="s">
        <v>126</v>
      </c>
      <c r="B349">
        <v>53</v>
      </c>
      <c r="C349" t="s">
        <v>23</v>
      </c>
      <c r="D349" t="s">
        <v>33</v>
      </c>
      <c r="E349" t="s">
        <v>34</v>
      </c>
      <c r="F349">
        <v>0</v>
      </c>
      <c r="G349">
        <v>0</v>
      </c>
      <c r="H349">
        <v>2</v>
      </c>
      <c r="I349">
        <v>0</v>
      </c>
      <c r="J349">
        <v>2</v>
      </c>
      <c r="K349">
        <v>1.2</v>
      </c>
    </row>
    <row r="350" spans="1:11" x14ac:dyDescent="0.2">
      <c r="A350" t="s">
        <v>126</v>
      </c>
      <c r="B350">
        <v>53</v>
      </c>
      <c r="C350" t="s">
        <v>23</v>
      </c>
      <c r="D350" t="s">
        <v>2</v>
      </c>
      <c r="E350" t="s">
        <v>26</v>
      </c>
      <c r="F350">
        <v>0</v>
      </c>
      <c r="G350">
        <v>1</v>
      </c>
      <c r="H350">
        <v>0</v>
      </c>
      <c r="I350">
        <v>0</v>
      </c>
      <c r="J350">
        <v>1</v>
      </c>
      <c r="K350">
        <v>0.75</v>
      </c>
    </row>
    <row r="351" spans="1:11" x14ac:dyDescent="0.2">
      <c r="A351" t="s">
        <v>126</v>
      </c>
      <c r="B351">
        <v>53</v>
      </c>
      <c r="C351" t="s">
        <v>27</v>
      </c>
      <c r="D351" t="s">
        <v>6</v>
      </c>
      <c r="E351" t="s">
        <v>85</v>
      </c>
      <c r="F351">
        <v>1</v>
      </c>
      <c r="G351">
        <v>0</v>
      </c>
      <c r="H351">
        <v>0</v>
      </c>
      <c r="I351">
        <v>0</v>
      </c>
      <c r="J351">
        <v>1</v>
      </c>
      <c r="K351">
        <v>1</v>
      </c>
    </row>
    <row r="352" spans="1:11" x14ac:dyDescent="0.2">
      <c r="A352" t="s">
        <v>126</v>
      </c>
      <c r="B352">
        <v>53</v>
      </c>
      <c r="C352" t="s">
        <v>27</v>
      </c>
      <c r="D352" t="s">
        <v>2</v>
      </c>
      <c r="E352" t="s">
        <v>86</v>
      </c>
      <c r="F352">
        <v>0</v>
      </c>
      <c r="G352">
        <v>0</v>
      </c>
      <c r="H352">
        <v>1</v>
      </c>
      <c r="I352">
        <v>0</v>
      </c>
      <c r="J352">
        <v>1</v>
      </c>
      <c r="K352">
        <v>0.5</v>
      </c>
    </row>
    <row r="353" spans="1:11" x14ac:dyDescent="0.2">
      <c r="A353" t="s">
        <v>126</v>
      </c>
      <c r="B353">
        <v>53</v>
      </c>
      <c r="C353" t="s">
        <v>27</v>
      </c>
      <c r="D353" t="s">
        <v>2</v>
      </c>
      <c r="E353" t="s">
        <v>83</v>
      </c>
      <c r="F353">
        <v>0</v>
      </c>
      <c r="G353">
        <v>0</v>
      </c>
      <c r="H353">
        <v>1</v>
      </c>
      <c r="I353">
        <v>0</v>
      </c>
      <c r="J353">
        <v>1</v>
      </c>
      <c r="K353">
        <v>0.5</v>
      </c>
    </row>
    <row r="354" spans="1:11" x14ac:dyDescent="0.2">
      <c r="A354" t="s">
        <v>126</v>
      </c>
      <c r="B354">
        <v>53</v>
      </c>
      <c r="C354" t="s">
        <v>27</v>
      </c>
      <c r="D354" t="s">
        <v>6</v>
      </c>
      <c r="E354" t="s">
        <v>83</v>
      </c>
      <c r="F354">
        <v>0</v>
      </c>
      <c r="G354">
        <v>0</v>
      </c>
      <c r="H354">
        <v>1</v>
      </c>
      <c r="I354">
        <v>0</v>
      </c>
      <c r="J354">
        <v>1</v>
      </c>
      <c r="K354">
        <v>0.5</v>
      </c>
    </row>
    <row r="355" spans="1:11" x14ac:dyDescent="0.2">
      <c r="A355" t="s">
        <v>126</v>
      </c>
      <c r="B355">
        <v>54</v>
      </c>
      <c r="C355" t="s">
        <v>18</v>
      </c>
      <c r="D355" t="s">
        <v>6</v>
      </c>
      <c r="E355" t="s">
        <v>39</v>
      </c>
      <c r="F355">
        <v>0</v>
      </c>
      <c r="G355">
        <v>0</v>
      </c>
      <c r="H355">
        <v>0</v>
      </c>
      <c r="I355">
        <v>5</v>
      </c>
      <c r="J355">
        <v>5</v>
      </c>
      <c r="K355">
        <v>0.5</v>
      </c>
    </row>
    <row r="356" spans="1:11" x14ac:dyDescent="0.2">
      <c r="A356" t="s">
        <v>126</v>
      </c>
      <c r="B356">
        <v>54</v>
      </c>
      <c r="C356" t="s">
        <v>27</v>
      </c>
      <c r="D356" t="s">
        <v>33</v>
      </c>
      <c r="E356" t="s">
        <v>60</v>
      </c>
      <c r="F356">
        <v>0</v>
      </c>
      <c r="G356">
        <v>0</v>
      </c>
      <c r="H356">
        <v>1</v>
      </c>
      <c r="I356">
        <v>0</v>
      </c>
      <c r="J356">
        <v>1</v>
      </c>
      <c r="K356">
        <v>0.5</v>
      </c>
    </row>
    <row r="357" spans="1:11" x14ac:dyDescent="0.2">
      <c r="A357" t="s">
        <v>126</v>
      </c>
      <c r="B357">
        <v>55</v>
      </c>
      <c r="C357" t="s">
        <v>4</v>
      </c>
      <c r="D357" t="s">
        <v>33</v>
      </c>
      <c r="E357" t="s">
        <v>36</v>
      </c>
      <c r="F357">
        <v>1</v>
      </c>
      <c r="G357">
        <v>2</v>
      </c>
      <c r="H357">
        <v>0</v>
      </c>
      <c r="I357">
        <v>0</v>
      </c>
      <c r="J357">
        <v>3</v>
      </c>
      <c r="K357">
        <v>2.5</v>
      </c>
    </row>
    <row r="358" spans="1:11" x14ac:dyDescent="0.2">
      <c r="A358" t="s">
        <v>126</v>
      </c>
      <c r="B358">
        <v>55</v>
      </c>
      <c r="C358" t="s">
        <v>15</v>
      </c>
      <c r="D358" t="s">
        <v>2</v>
      </c>
      <c r="E358" t="s">
        <v>16</v>
      </c>
      <c r="F358">
        <v>0</v>
      </c>
      <c r="G358">
        <v>0</v>
      </c>
      <c r="H358">
        <v>0</v>
      </c>
      <c r="I358">
        <v>4</v>
      </c>
      <c r="J358">
        <v>4</v>
      </c>
      <c r="K358">
        <v>0.4</v>
      </c>
    </row>
    <row r="359" spans="1:11" x14ac:dyDescent="0.2">
      <c r="A359" t="s">
        <v>126</v>
      </c>
      <c r="B359">
        <v>55</v>
      </c>
      <c r="C359" t="s">
        <v>18</v>
      </c>
      <c r="D359" t="s">
        <v>2</v>
      </c>
      <c r="E359" t="s">
        <v>54</v>
      </c>
      <c r="F359">
        <v>0</v>
      </c>
      <c r="G359">
        <v>0</v>
      </c>
      <c r="H359">
        <v>0</v>
      </c>
      <c r="I359">
        <v>1</v>
      </c>
      <c r="J359">
        <v>1</v>
      </c>
      <c r="K359">
        <v>0.1</v>
      </c>
    </row>
    <row r="360" spans="1:11" x14ac:dyDescent="0.2">
      <c r="A360" t="s">
        <v>126</v>
      </c>
      <c r="B360">
        <v>55</v>
      </c>
      <c r="C360" t="s">
        <v>23</v>
      </c>
      <c r="D360" t="s">
        <v>2</v>
      </c>
      <c r="E360" t="s">
        <v>35</v>
      </c>
      <c r="F360">
        <v>0</v>
      </c>
      <c r="G360">
        <v>0</v>
      </c>
      <c r="H360">
        <v>0</v>
      </c>
      <c r="I360">
        <v>1</v>
      </c>
      <c r="J360">
        <v>1</v>
      </c>
      <c r="K360">
        <v>0.1</v>
      </c>
    </row>
    <row r="361" spans="1:11" x14ac:dyDescent="0.2">
      <c r="A361" t="s">
        <v>126</v>
      </c>
      <c r="B361">
        <v>55</v>
      </c>
      <c r="C361" t="s">
        <v>27</v>
      </c>
      <c r="D361" t="s">
        <v>2</v>
      </c>
      <c r="E361" t="s">
        <v>42</v>
      </c>
      <c r="F361">
        <v>0</v>
      </c>
      <c r="G361">
        <v>0</v>
      </c>
      <c r="H361">
        <v>1</v>
      </c>
      <c r="I361">
        <v>0</v>
      </c>
      <c r="J361">
        <v>1</v>
      </c>
      <c r="K361">
        <v>0.5</v>
      </c>
    </row>
    <row r="362" spans="1:11" x14ac:dyDescent="0.2">
      <c r="A362" t="s">
        <v>126</v>
      </c>
      <c r="B362">
        <v>56</v>
      </c>
      <c r="C362" t="s">
        <v>4</v>
      </c>
      <c r="D362" t="s">
        <v>33</v>
      </c>
      <c r="E362" t="s">
        <v>36</v>
      </c>
      <c r="F362">
        <v>0</v>
      </c>
      <c r="G362">
        <v>1</v>
      </c>
      <c r="H362">
        <v>0</v>
      </c>
      <c r="I362">
        <v>0</v>
      </c>
      <c r="J362">
        <v>1</v>
      </c>
      <c r="K362">
        <v>0.75</v>
      </c>
    </row>
    <row r="363" spans="1:11" x14ac:dyDescent="0.2">
      <c r="A363" t="s">
        <v>126</v>
      </c>
      <c r="B363">
        <v>56</v>
      </c>
      <c r="C363" t="s">
        <v>4</v>
      </c>
      <c r="D363" t="s">
        <v>2</v>
      </c>
      <c r="E363" t="s">
        <v>32</v>
      </c>
      <c r="F363">
        <v>0</v>
      </c>
      <c r="G363">
        <v>1</v>
      </c>
      <c r="H363">
        <v>0</v>
      </c>
      <c r="I363">
        <v>1</v>
      </c>
      <c r="J363">
        <v>2</v>
      </c>
      <c r="K363">
        <v>0.85</v>
      </c>
    </row>
    <row r="364" spans="1:11" x14ac:dyDescent="0.2">
      <c r="A364" t="s">
        <v>126</v>
      </c>
      <c r="B364">
        <v>56</v>
      </c>
      <c r="C364" t="s">
        <v>11</v>
      </c>
      <c r="D364" t="s">
        <v>2</v>
      </c>
      <c r="E364" t="s">
        <v>76</v>
      </c>
      <c r="F364">
        <v>0</v>
      </c>
      <c r="G364">
        <v>0</v>
      </c>
      <c r="H364">
        <v>0</v>
      </c>
      <c r="I364">
        <v>2</v>
      </c>
      <c r="J364">
        <v>2</v>
      </c>
      <c r="K364">
        <v>0.2</v>
      </c>
    </row>
    <row r="365" spans="1:11" x14ac:dyDescent="0.2">
      <c r="A365" t="s">
        <v>126</v>
      </c>
      <c r="B365">
        <v>56</v>
      </c>
      <c r="C365" t="s">
        <v>15</v>
      </c>
      <c r="D365" t="s">
        <v>2</v>
      </c>
      <c r="E365" t="s">
        <v>46</v>
      </c>
      <c r="F365">
        <v>1</v>
      </c>
      <c r="G365">
        <v>0</v>
      </c>
      <c r="H365">
        <v>0</v>
      </c>
      <c r="I365">
        <v>0</v>
      </c>
      <c r="J365">
        <v>1</v>
      </c>
      <c r="K365">
        <v>1</v>
      </c>
    </row>
    <row r="366" spans="1:11" x14ac:dyDescent="0.2">
      <c r="A366" t="s">
        <v>126</v>
      </c>
      <c r="B366">
        <v>56</v>
      </c>
      <c r="C366" t="s">
        <v>23</v>
      </c>
      <c r="D366" t="s">
        <v>33</v>
      </c>
      <c r="E366" t="s">
        <v>34</v>
      </c>
      <c r="F366">
        <v>0</v>
      </c>
      <c r="G366">
        <v>1</v>
      </c>
      <c r="H366">
        <v>0</v>
      </c>
      <c r="I366">
        <v>1</v>
      </c>
      <c r="J366">
        <v>2</v>
      </c>
      <c r="K366">
        <v>0.85</v>
      </c>
    </row>
    <row r="367" spans="1:11" x14ac:dyDescent="0.2">
      <c r="A367" t="s">
        <v>126</v>
      </c>
      <c r="B367">
        <v>56</v>
      </c>
      <c r="C367" t="s">
        <v>23</v>
      </c>
      <c r="D367" t="s">
        <v>2</v>
      </c>
      <c r="E367" t="s">
        <v>61</v>
      </c>
      <c r="F367">
        <v>1</v>
      </c>
      <c r="G367">
        <v>0</v>
      </c>
      <c r="H367">
        <v>0</v>
      </c>
      <c r="I367">
        <v>0</v>
      </c>
      <c r="J367">
        <v>1</v>
      </c>
      <c r="K367">
        <v>1</v>
      </c>
    </row>
    <row r="368" spans="1:11" x14ac:dyDescent="0.2">
      <c r="A368" t="s">
        <v>126</v>
      </c>
      <c r="B368">
        <v>56</v>
      </c>
      <c r="C368" t="s">
        <v>27</v>
      </c>
      <c r="D368" t="s">
        <v>2</v>
      </c>
      <c r="E368" t="s">
        <v>42</v>
      </c>
      <c r="F368">
        <v>0</v>
      </c>
      <c r="G368">
        <v>0</v>
      </c>
      <c r="H368">
        <v>2</v>
      </c>
      <c r="I368">
        <v>0</v>
      </c>
      <c r="J368">
        <v>2</v>
      </c>
      <c r="K368">
        <v>1</v>
      </c>
    </row>
    <row r="369" spans="1:11" x14ac:dyDescent="0.2">
      <c r="A369" t="s">
        <v>126</v>
      </c>
      <c r="B369">
        <v>57</v>
      </c>
      <c r="C369" t="s">
        <v>4</v>
      </c>
      <c r="D369" t="s">
        <v>6</v>
      </c>
      <c r="E369" t="s">
        <v>45</v>
      </c>
      <c r="F369">
        <v>0</v>
      </c>
      <c r="G369">
        <v>0</v>
      </c>
      <c r="H369">
        <v>1</v>
      </c>
      <c r="I369">
        <v>0</v>
      </c>
      <c r="J369">
        <v>1</v>
      </c>
      <c r="K369">
        <v>0.5</v>
      </c>
    </row>
    <row r="370" spans="1:11" x14ac:dyDescent="0.2">
      <c r="A370" t="s">
        <v>126</v>
      </c>
      <c r="B370">
        <v>57</v>
      </c>
      <c r="C370" t="s">
        <v>1</v>
      </c>
      <c r="D370" t="s">
        <v>33</v>
      </c>
      <c r="E370" t="s">
        <v>45</v>
      </c>
      <c r="F370">
        <v>0</v>
      </c>
      <c r="G370">
        <v>0</v>
      </c>
      <c r="H370">
        <v>1</v>
      </c>
      <c r="I370">
        <v>0</v>
      </c>
      <c r="J370">
        <v>1</v>
      </c>
      <c r="K370">
        <v>0.5</v>
      </c>
    </row>
    <row r="371" spans="1:11" x14ac:dyDescent="0.2">
      <c r="A371" t="s">
        <v>126</v>
      </c>
      <c r="B371">
        <v>57</v>
      </c>
      <c r="C371" t="s">
        <v>15</v>
      </c>
      <c r="D371" t="s">
        <v>2</v>
      </c>
      <c r="E371" t="s">
        <v>16</v>
      </c>
      <c r="F371">
        <v>0</v>
      </c>
      <c r="G371">
        <v>1</v>
      </c>
      <c r="H371">
        <v>0</v>
      </c>
      <c r="I371">
        <v>5</v>
      </c>
      <c r="J371">
        <v>6</v>
      </c>
      <c r="K371">
        <v>1.25</v>
      </c>
    </row>
    <row r="372" spans="1:11" x14ac:dyDescent="0.2">
      <c r="A372" t="s">
        <v>126</v>
      </c>
      <c r="B372">
        <v>57</v>
      </c>
      <c r="C372" t="s">
        <v>18</v>
      </c>
      <c r="D372" t="s">
        <v>6</v>
      </c>
      <c r="E372" t="s">
        <v>19</v>
      </c>
      <c r="F372">
        <v>1</v>
      </c>
      <c r="G372">
        <v>0</v>
      </c>
      <c r="H372">
        <v>5</v>
      </c>
      <c r="I372">
        <v>0</v>
      </c>
      <c r="J372">
        <v>6</v>
      </c>
      <c r="K372">
        <v>3.5</v>
      </c>
    </row>
    <row r="373" spans="1:11" x14ac:dyDescent="0.2">
      <c r="A373" t="s">
        <v>126</v>
      </c>
      <c r="B373">
        <v>58</v>
      </c>
      <c r="C373" t="s">
        <v>4</v>
      </c>
      <c r="D373" t="s">
        <v>33</v>
      </c>
      <c r="E373" t="s">
        <v>36</v>
      </c>
      <c r="F373">
        <v>0</v>
      </c>
      <c r="G373">
        <v>2</v>
      </c>
      <c r="H373">
        <v>0</v>
      </c>
      <c r="I373">
        <v>0</v>
      </c>
      <c r="J373">
        <v>2</v>
      </c>
      <c r="K373">
        <v>1.5</v>
      </c>
    </row>
    <row r="374" spans="1:11" x14ac:dyDescent="0.2">
      <c r="A374" t="s">
        <v>126</v>
      </c>
      <c r="B374">
        <v>58</v>
      </c>
      <c r="C374" t="s">
        <v>4</v>
      </c>
      <c r="D374" t="s">
        <v>6</v>
      </c>
      <c r="E374" t="s">
        <v>45</v>
      </c>
      <c r="F374">
        <v>0</v>
      </c>
      <c r="G374">
        <v>1</v>
      </c>
      <c r="H374">
        <v>0</v>
      </c>
      <c r="I374">
        <v>0</v>
      </c>
      <c r="J374">
        <v>1</v>
      </c>
      <c r="K374">
        <v>0.75</v>
      </c>
    </row>
    <row r="375" spans="1:11" x14ac:dyDescent="0.2">
      <c r="A375" t="s">
        <v>126</v>
      </c>
      <c r="B375">
        <v>58</v>
      </c>
      <c r="C375" t="s">
        <v>1</v>
      </c>
      <c r="D375" t="s">
        <v>33</v>
      </c>
      <c r="E375" t="s">
        <v>45</v>
      </c>
      <c r="F375">
        <v>0</v>
      </c>
      <c r="G375">
        <v>1</v>
      </c>
      <c r="H375">
        <v>0</v>
      </c>
      <c r="I375">
        <v>0</v>
      </c>
      <c r="J375">
        <v>1</v>
      </c>
      <c r="K375">
        <v>0.75</v>
      </c>
    </row>
    <row r="376" spans="1:11" x14ac:dyDescent="0.2">
      <c r="A376" t="s">
        <v>126</v>
      </c>
      <c r="B376">
        <v>58</v>
      </c>
      <c r="C376" t="s">
        <v>15</v>
      </c>
      <c r="D376" t="s">
        <v>2</v>
      </c>
      <c r="E376" t="s">
        <v>16</v>
      </c>
      <c r="F376">
        <v>0</v>
      </c>
      <c r="G376">
        <v>0</v>
      </c>
      <c r="H376">
        <v>0</v>
      </c>
      <c r="I376">
        <v>4</v>
      </c>
      <c r="J376">
        <v>4</v>
      </c>
      <c r="K376">
        <v>0.4</v>
      </c>
    </row>
    <row r="377" spans="1:11" x14ac:dyDescent="0.2">
      <c r="A377" t="s">
        <v>126</v>
      </c>
      <c r="B377">
        <v>58</v>
      </c>
      <c r="C377" t="s">
        <v>23</v>
      </c>
      <c r="D377" t="s">
        <v>2</v>
      </c>
      <c r="E377" t="s">
        <v>35</v>
      </c>
      <c r="F377">
        <v>0</v>
      </c>
      <c r="G377">
        <v>0</v>
      </c>
      <c r="H377">
        <v>2</v>
      </c>
      <c r="I377">
        <v>0</v>
      </c>
      <c r="J377">
        <v>2</v>
      </c>
      <c r="K377">
        <v>1</v>
      </c>
    </row>
    <row r="378" spans="1:11" x14ac:dyDescent="0.2">
      <c r="A378" t="s">
        <v>126</v>
      </c>
      <c r="B378">
        <v>58</v>
      </c>
      <c r="C378" t="s">
        <v>27</v>
      </c>
      <c r="D378" t="s">
        <v>2</v>
      </c>
      <c r="E378" t="s">
        <v>42</v>
      </c>
      <c r="F378">
        <v>0</v>
      </c>
      <c r="G378">
        <v>0</v>
      </c>
      <c r="H378">
        <v>1</v>
      </c>
      <c r="I378">
        <v>0</v>
      </c>
      <c r="J378">
        <v>1</v>
      </c>
      <c r="K378">
        <v>0.5</v>
      </c>
    </row>
    <row r="379" spans="1:11" x14ac:dyDescent="0.2">
      <c r="A379" t="s">
        <v>126</v>
      </c>
      <c r="B379">
        <v>59</v>
      </c>
      <c r="C379" t="s">
        <v>4</v>
      </c>
      <c r="D379" t="s">
        <v>6</v>
      </c>
      <c r="E379" t="s">
        <v>45</v>
      </c>
      <c r="F379">
        <v>0</v>
      </c>
      <c r="G379">
        <v>0</v>
      </c>
      <c r="H379">
        <v>0</v>
      </c>
      <c r="I379">
        <v>1</v>
      </c>
      <c r="J379">
        <v>1</v>
      </c>
      <c r="K379">
        <v>0.1</v>
      </c>
    </row>
    <row r="380" spans="1:11" x14ac:dyDescent="0.2">
      <c r="A380" t="s">
        <v>126</v>
      </c>
      <c r="B380">
        <v>59</v>
      </c>
      <c r="C380" t="s">
        <v>4</v>
      </c>
      <c r="D380" t="s">
        <v>2</v>
      </c>
      <c r="E380" t="s">
        <v>7</v>
      </c>
      <c r="F380">
        <v>0</v>
      </c>
      <c r="G380">
        <v>1</v>
      </c>
      <c r="H380">
        <v>0</v>
      </c>
      <c r="I380">
        <v>0</v>
      </c>
      <c r="J380">
        <v>1</v>
      </c>
      <c r="K380">
        <v>0.75</v>
      </c>
    </row>
    <row r="381" spans="1:11" x14ac:dyDescent="0.2">
      <c r="A381" t="s">
        <v>126</v>
      </c>
      <c r="B381">
        <v>59</v>
      </c>
      <c r="C381" t="s">
        <v>4</v>
      </c>
      <c r="D381" t="s">
        <v>2</v>
      </c>
      <c r="E381" t="s">
        <v>32</v>
      </c>
      <c r="F381">
        <v>0</v>
      </c>
      <c r="G381">
        <v>0</v>
      </c>
      <c r="H381">
        <v>0</v>
      </c>
      <c r="I381">
        <v>1</v>
      </c>
      <c r="J381">
        <v>1</v>
      </c>
      <c r="K381">
        <v>0.1</v>
      </c>
    </row>
    <row r="382" spans="1:11" x14ac:dyDescent="0.2">
      <c r="A382" t="s">
        <v>126</v>
      </c>
      <c r="B382">
        <v>59</v>
      </c>
      <c r="C382" t="s">
        <v>1</v>
      </c>
      <c r="D382" t="s">
        <v>33</v>
      </c>
      <c r="E382" t="s">
        <v>45</v>
      </c>
      <c r="F382">
        <v>0</v>
      </c>
      <c r="G382">
        <v>0</v>
      </c>
      <c r="H382">
        <v>0</v>
      </c>
      <c r="I382">
        <v>1</v>
      </c>
      <c r="J382">
        <v>1</v>
      </c>
      <c r="K382">
        <v>0.1</v>
      </c>
    </row>
    <row r="383" spans="1:11" x14ac:dyDescent="0.2">
      <c r="A383" t="s">
        <v>126</v>
      </c>
      <c r="B383">
        <v>59</v>
      </c>
      <c r="C383" t="s">
        <v>15</v>
      </c>
      <c r="D383" t="s">
        <v>2</v>
      </c>
      <c r="E383" t="s">
        <v>16</v>
      </c>
      <c r="F383">
        <v>1</v>
      </c>
      <c r="G383">
        <v>0</v>
      </c>
      <c r="H383">
        <v>0</v>
      </c>
      <c r="I383">
        <v>0</v>
      </c>
      <c r="J383">
        <v>1</v>
      </c>
      <c r="K383">
        <v>1</v>
      </c>
    </row>
    <row r="384" spans="1:11" x14ac:dyDescent="0.2">
      <c r="A384" t="s">
        <v>126</v>
      </c>
      <c r="B384">
        <v>59</v>
      </c>
      <c r="C384" t="s">
        <v>18</v>
      </c>
      <c r="D384" t="s">
        <v>6</v>
      </c>
      <c r="E384" t="s">
        <v>19</v>
      </c>
      <c r="F384">
        <v>0</v>
      </c>
      <c r="G384">
        <v>1</v>
      </c>
      <c r="H384">
        <v>0</v>
      </c>
      <c r="I384">
        <v>0</v>
      </c>
      <c r="J384">
        <v>1</v>
      </c>
      <c r="K384">
        <v>0.75</v>
      </c>
    </row>
    <row r="385" spans="1:11" x14ac:dyDescent="0.2">
      <c r="A385" t="s">
        <v>126</v>
      </c>
      <c r="B385">
        <v>59</v>
      </c>
      <c r="C385" t="s">
        <v>23</v>
      </c>
      <c r="D385" t="s">
        <v>33</v>
      </c>
      <c r="E385" t="s">
        <v>34</v>
      </c>
      <c r="F385">
        <v>0</v>
      </c>
      <c r="G385">
        <v>0</v>
      </c>
      <c r="H385">
        <v>0</v>
      </c>
      <c r="I385">
        <v>1</v>
      </c>
      <c r="J385">
        <v>1</v>
      </c>
      <c r="K385">
        <v>0.1</v>
      </c>
    </row>
    <row r="386" spans="1:11" x14ac:dyDescent="0.2">
      <c r="A386" t="s">
        <v>126</v>
      </c>
      <c r="B386">
        <v>60</v>
      </c>
      <c r="C386" t="s">
        <v>4</v>
      </c>
      <c r="D386" t="s">
        <v>6</v>
      </c>
      <c r="E386" t="s">
        <v>45</v>
      </c>
      <c r="F386">
        <v>0</v>
      </c>
      <c r="G386">
        <v>1</v>
      </c>
      <c r="H386">
        <v>0</v>
      </c>
      <c r="I386">
        <v>0</v>
      </c>
      <c r="J386">
        <v>1</v>
      </c>
      <c r="K386">
        <v>0.75</v>
      </c>
    </row>
    <row r="387" spans="1:11" x14ac:dyDescent="0.2">
      <c r="A387" t="s">
        <v>126</v>
      </c>
      <c r="B387">
        <v>60</v>
      </c>
      <c r="C387" t="s">
        <v>4</v>
      </c>
      <c r="D387" t="s">
        <v>2</v>
      </c>
      <c r="E387" t="s">
        <v>53</v>
      </c>
      <c r="F387">
        <v>0</v>
      </c>
      <c r="G387">
        <v>0</v>
      </c>
      <c r="H387">
        <v>1</v>
      </c>
      <c r="I387">
        <v>0</v>
      </c>
      <c r="J387">
        <v>1</v>
      </c>
      <c r="K387">
        <v>0.5</v>
      </c>
    </row>
    <row r="388" spans="1:11" x14ac:dyDescent="0.2">
      <c r="A388" t="s">
        <v>126</v>
      </c>
      <c r="B388">
        <v>60</v>
      </c>
      <c r="C388" t="s">
        <v>4</v>
      </c>
      <c r="D388" t="s">
        <v>2</v>
      </c>
      <c r="E388" t="s">
        <v>32</v>
      </c>
      <c r="F388">
        <v>1</v>
      </c>
      <c r="G388">
        <v>0</v>
      </c>
      <c r="H388">
        <v>0</v>
      </c>
      <c r="I388">
        <v>1</v>
      </c>
      <c r="J388">
        <v>2</v>
      </c>
      <c r="K388">
        <v>1.1000000000000001</v>
      </c>
    </row>
    <row r="389" spans="1:11" x14ac:dyDescent="0.2">
      <c r="A389" t="s">
        <v>126</v>
      </c>
      <c r="B389">
        <v>60</v>
      </c>
      <c r="C389" t="s">
        <v>1</v>
      </c>
      <c r="D389" t="s">
        <v>33</v>
      </c>
      <c r="E389" t="s">
        <v>45</v>
      </c>
      <c r="F389">
        <v>0</v>
      </c>
      <c r="G389">
        <v>1</v>
      </c>
      <c r="H389">
        <v>0</v>
      </c>
      <c r="I389">
        <v>0</v>
      </c>
      <c r="J389">
        <v>1</v>
      </c>
      <c r="K389">
        <v>0.75</v>
      </c>
    </row>
    <row r="390" spans="1:11" x14ac:dyDescent="0.2">
      <c r="A390" t="s">
        <v>126</v>
      </c>
      <c r="B390">
        <v>60</v>
      </c>
      <c r="C390" t="s">
        <v>23</v>
      </c>
      <c r="D390" t="s">
        <v>33</v>
      </c>
      <c r="E390" t="s">
        <v>34</v>
      </c>
      <c r="F390">
        <v>0</v>
      </c>
      <c r="G390">
        <v>1</v>
      </c>
      <c r="H390">
        <v>1</v>
      </c>
      <c r="I390">
        <v>0</v>
      </c>
      <c r="J390">
        <v>2</v>
      </c>
      <c r="K390">
        <v>1.35</v>
      </c>
    </row>
    <row r="391" spans="1:11" x14ac:dyDescent="0.2">
      <c r="A391" t="s">
        <v>126</v>
      </c>
      <c r="B391">
        <v>60</v>
      </c>
      <c r="C391" t="s">
        <v>27</v>
      </c>
      <c r="D391" t="s">
        <v>2</v>
      </c>
      <c r="E391" t="s">
        <v>31</v>
      </c>
      <c r="F391">
        <v>0</v>
      </c>
      <c r="G391">
        <v>0</v>
      </c>
      <c r="H391">
        <v>1</v>
      </c>
      <c r="I391">
        <v>0</v>
      </c>
      <c r="J391">
        <v>1</v>
      </c>
      <c r="K391">
        <v>0.5</v>
      </c>
    </row>
    <row r="392" spans="1:11" x14ac:dyDescent="0.2">
      <c r="A392" t="s">
        <v>126</v>
      </c>
      <c r="B392">
        <v>60</v>
      </c>
      <c r="C392" t="s">
        <v>27</v>
      </c>
      <c r="D392" t="s">
        <v>2</v>
      </c>
      <c r="E392" t="s">
        <v>86</v>
      </c>
      <c r="F392">
        <v>0</v>
      </c>
      <c r="G392">
        <v>0</v>
      </c>
      <c r="H392">
        <v>0</v>
      </c>
      <c r="I392">
        <v>1</v>
      </c>
      <c r="J392">
        <v>1</v>
      </c>
      <c r="K392">
        <v>0.1</v>
      </c>
    </row>
    <row r="393" spans="1:11" x14ac:dyDescent="0.2">
      <c r="A393" t="s">
        <v>126</v>
      </c>
      <c r="B393">
        <v>60</v>
      </c>
      <c r="C393" t="s">
        <v>27</v>
      </c>
      <c r="D393" t="s">
        <v>6</v>
      </c>
      <c r="E393" t="s">
        <v>72</v>
      </c>
      <c r="F393">
        <v>5</v>
      </c>
      <c r="G393">
        <v>0</v>
      </c>
      <c r="H393">
        <v>1</v>
      </c>
      <c r="I393">
        <v>0</v>
      </c>
      <c r="J393">
        <v>6</v>
      </c>
      <c r="K393">
        <v>5.5</v>
      </c>
    </row>
    <row r="394" spans="1:11" x14ac:dyDescent="0.2">
      <c r="A394" t="s">
        <v>126</v>
      </c>
      <c r="B394">
        <v>61</v>
      </c>
      <c r="C394" t="s">
        <v>4</v>
      </c>
      <c r="D394" t="s">
        <v>2</v>
      </c>
      <c r="E394" t="s">
        <v>5</v>
      </c>
      <c r="F394">
        <v>0</v>
      </c>
      <c r="G394">
        <v>1</v>
      </c>
      <c r="H394">
        <v>0</v>
      </c>
      <c r="I394">
        <v>0</v>
      </c>
      <c r="J394">
        <v>1</v>
      </c>
      <c r="K394">
        <v>0.75</v>
      </c>
    </row>
    <row r="395" spans="1:11" x14ac:dyDescent="0.2">
      <c r="A395" t="s">
        <v>126</v>
      </c>
      <c r="B395">
        <v>61</v>
      </c>
      <c r="C395" t="s">
        <v>4</v>
      </c>
      <c r="D395" t="s">
        <v>6</v>
      </c>
      <c r="E395" t="s">
        <v>5</v>
      </c>
      <c r="F395">
        <v>0</v>
      </c>
      <c r="G395">
        <v>1</v>
      </c>
      <c r="H395">
        <v>0</v>
      </c>
      <c r="I395">
        <v>0</v>
      </c>
      <c r="J395">
        <v>1</v>
      </c>
      <c r="K395">
        <v>0.75</v>
      </c>
    </row>
    <row r="396" spans="1:11" x14ac:dyDescent="0.2">
      <c r="A396" t="s">
        <v>126</v>
      </c>
      <c r="B396">
        <v>61</v>
      </c>
      <c r="C396" t="s">
        <v>18</v>
      </c>
      <c r="D396" t="s">
        <v>2</v>
      </c>
      <c r="E396" t="s">
        <v>21</v>
      </c>
      <c r="F396">
        <v>0</v>
      </c>
      <c r="G396">
        <v>0</v>
      </c>
      <c r="H396">
        <v>0</v>
      </c>
      <c r="I396">
        <v>1</v>
      </c>
      <c r="J396">
        <v>1</v>
      </c>
      <c r="K396">
        <v>0.1</v>
      </c>
    </row>
    <row r="397" spans="1:11" x14ac:dyDescent="0.2">
      <c r="A397" t="s">
        <v>126</v>
      </c>
      <c r="B397">
        <v>61</v>
      </c>
      <c r="C397" t="s">
        <v>23</v>
      </c>
      <c r="D397" t="s">
        <v>33</v>
      </c>
      <c r="E397" t="s">
        <v>40</v>
      </c>
      <c r="F397">
        <v>0</v>
      </c>
      <c r="G397">
        <v>0</v>
      </c>
      <c r="H397">
        <v>1</v>
      </c>
      <c r="I397">
        <v>0</v>
      </c>
      <c r="J397">
        <v>1</v>
      </c>
      <c r="K397">
        <v>0.5</v>
      </c>
    </row>
    <row r="398" spans="1:11" x14ac:dyDescent="0.2">
      <c r="A398" t="s">
        <v>126</v>
      </c>
      <c r="B398">
        <v>61</v>
      </c>
      <c r="C398" t="s">
        <v>27</v>
      </c>
      <c r="D398" t="s">
        <v>2</v>
      </c>
      <c r="E398" t="s">
        <v>5</v>
      </c>
      <c r="F398">
        <v>0</v>
      </c>
      <c r="G398">
        <v>1</v>
      </c>
      <c r="H398">
        <v>0</v>
      </c>
      <c r="I398">
        <v>0</v>
      </c>
      <c r="J398">
        <v>1</v>
      </c>
      <c r="K398">
        <v>0.75</v>
      </c>
    </row>
    <row r="399" spans="1:11" x14ac:dyDescent="0.2">
      <c r="A399" t="s">
        <v>126</v>
      </c>
      <c r="B399">
        <v>62</v>
      </c>
      <c r="C399" t="s">
        <v>4</v>
      </c>
      <c r="D399" t="s">
        <v>6</v>
      </c>
      <c r="E399" t="s">
        <v>45</v>
      </c>
      <c r="F399">
        <v>0</v>
      </c>
      <c r="G399">
        <v>0</v>
      </c>
      <c r="H399">
        <v>2</v>
      </c>
      <c r="I399">
        <v>0</v>
      </c>
      <c r="J399">
        <v>2</v>
      </c>
      <c r="K399">
        <v>1.2</v>
      </c>
    </row>
    <row r="400" spans="1:11" x14ac:dyDescent="0.2">
      <c r="A400" t="s">
        <v>126</v>
      </c>
      <c r="B400">
        <v>62</v>
      </c>
      <c r="C400" t="s">
        <v>4</v>
      </c>
      <c r="D400" t="s">
        <v>6</v>
      </c>
      <c r="E400" t="s">
        <v>10</v>
      </c>
      <c r="F400">
        <v>0</v>
      </c>
      <c r="G400">
        <v>0</v>
      </c>
      <c r="H400">
        <v>2</v>
      </c>
      <c r="I400">
        <v>0</v>
      </c>
      <c r="J400">
        <v>2</v>
      </c>
      <c r="K400">
        <v>1</v>
      </c>
    </row>
    <row r="401" spans="1:11" x14ac:dyDescent="0.2">
      <c r="A401" t="s">
        <v>126</v>
      </c>
      <c r="B401">
        <v>62</v>
      </c>
      <c r="C401" t="s">
        <v>1</v>
      </c>
      <c r="D401" t="s">
        <v>33</v>
      </c>
      <c r="E401" t="s">
        <v>45</v>
      </c>
      <c r="F401">
        <v>0</v>
      </c>
      <c r="G401">
        <v>0</v>
      </c>
      <c r="H401">
        <v>2</v>
      </c>
      <c r="I401">
        <v>0</v>
      </c>
      <c r="J401">
        <v>2</v>
      </c>
      <c r="K401">
        <v>1.2</v>
      </c>
    </row>
    <row r="402" spans="1:11" x14ac:dyDescent="0.2">
      <c r="A402" t="s">
        <v>126</v>
      </c>
      <c r="B402">
        <v>62</v>
      </c>
      <c r="C402" t="s">
        <v>1</v>
      </c>
      <c r="D402" t="s">
        <v>2</v>
      </c>
      <c r="E402" t="s">
        <v>103</v>
      </c>
      <c r="F402">
        <v>0</v>
      </c>
      <c r="G402">
        <v>0</v>
      </c>
      <c r="H402">
        <v>1</v>
      </c>
      <c r="I402">
        <v>0</v>
      </c>
      <c r="J402">
        <v>1</v>
      </c>
      <c r="K402">
        <v>0.5</v>
      </c>
    </row>
    <row r="403" spans="1:11" x14ac:dyDescent="0.2">
      <c r="A403" t="s">
        <v>126</v>
      </c>
      <c r="B403">
        <v>62</v>
      </c>
      <c r="C403" t="s">
        <v>1</v>
      </c>
      <c r="D403" t="s">
        <v>6</v>
      </c>
      <c r="E403" t="s">
        <v>103</v>
      </c>
      <c r="F403">
        <v>0</v>
      </c>
      <c r="G403">
        <v>0</v>
      </c>
      <c r="H403">
        <v>1</v>
      </c>
      <c r="I403">
        <v>0</v>
      </c>
      <c r="J403">
        <v>1</v>
      </c>
      <c r="K403">
        <v>0.5</v>
      </c>
    </row>
    <row r="404" spans="1:11" x14ac:dyDescent="0.2">
      <c r="A404" t="s">
        <v>126</v>
      </c>
      <c r="B404">
        <v>62</v>
      </c>
      <c r="C404" t="s">
        <v>15</v>
      </c>
      <c r="D404" t="s">
        <v>2</v>
      </c>
      <c r="E404" t="s">
        <v>16</v>
      </c>
      <c r="F404">
        <v>0</v>
      </c>
      <c r="G404">
        <v>0</v>
      </c>
      <c r="H404">
        <v>0</v>
      </c>
      <c r="I404">
        <v>2</v>
      </c>
      <c r="J404">
        <v>2</v>
      </c>
      <c r="K404">
        <v>0.2</v>
      </c>
    </row>
    <row r="405" spans="1:11" x14ac:dyDescent="0.2">
      <c r="A405" t="s">
        <v>126</v>
      </c>
      <c r="B405">
        <v>62</v>
      </c>
      <c r="C405" t="s">
        <v>18</v>
      </c>
      <c r="D405" t="s">
        <v>6</v>
      </c>
      <c r="E405" t="s">
        <v>19</v>
      </c>
      <c r="F405">
        <v>0</v>
      </c>
      <c r="G405">
        <v>0</v>
      </c>
      <c r="H405">
        <v>2</v>
      </c>
      <c r="I405">
        <v>0</v>
      </c>
      <c r="J405">
        <v>2</v>
      </c>
      <c r="K405">
        <v>1</v>
      </c>
    </row>
    <row r="406" spans="1:11" x14ac:dyDescent="0.2">
      <c r="A406" t="s">
        <v>126</v>
      </c>
      <c r="B406">
        <v>62</v>
      </c>
      <c r="C406" t="s">
        <v>23</v>
      </c>
      <c r="D406" t="s">
        <v>2</v>
      </c>
      <c r="E406" t="s">
        <v>10</v>
      </c>
      <c r="F406">
        <v>0</v>
      </c>
      <c r="G406">
        <v>0</v>
      </c>
      <c r="H406">
        <v>2</v>
      </c>
      <c r="I406">
        <v>0</v>
      </c>
      <c r="J406">
        <v>2</v>
      </c>
      <c r="K406">
        <v>1</v>
      </c>
    </row>
    <row r="407" spans="1:11" x14ac:dyDescent="0.2">
      <c r="A407" t="s">
        <v>126</v>
      </c>
      <c r="B407">
        <v>62</v>
      </c>
      <c r="C407" t="s">
        <v>23</v>
      </c>
      <c r="D407" t="s">
        <v>6</v>
      </c>
      <c r="E407" t="s">
        <v>25</v>
      </c>
      <c r="F407">
        <v>0</v>
      </c>
      <c r="G407">
        <v>0</v>
      </c>
      <c r="H407">
        <v>2</v>
      </c>
      <c r="I407">
        <v>0</v>
      </c>
      <c r="J407">
        <v>2</v>
      </c>
      <c r="K407">
        <v>1</v>
      </c>
    </row>
    <row r="408" spans="1:11" x14ac:dyDescent="0.2">
      <c r="A408" t="s">
        <v>126</v>
      </c>
      <c r="B408">
        <v>62</v>
      </c>
      <c r="C408" t="s">
        <v>23</v>
      </c>
      <c r="D408" t="s">
        <v>2</v>
      </c>
      <c r="E408" t="s">
        <v>35</v>
      </c>
      <c r="F408">
        <v>0</v>
      </c>
      <c r="G408">
        <v>0</v>
      </c>
      <c r="H408">
        <v>1</v>
      </c>
      <c r="I408">
        <v>0</v>
      </c>
      <c r="J408">
        <v>1</v>
      </c>
      <c r="K408">
        <v>0.5</v>
      </c>
    </row>
    <row r="409" spans="1:11" x14ac:dyDescent="0.2">
      <c r="A409" t="s">
        <v>126</v>
      </c>
      <c r="B409">
        <v>62</v>
      </c>
      <c r="C409" t="s">
        <v>27</v>
      </c>
      <c r="D409" t="s">
        <v>2</v>
      </c>
      <c r="E409" t="s">
        <v>103</v>
      </c>
      <c r="F409">
        <v>0</v>
      </c>
      <c r="G409">
        <v>0</v>
      </c>
      <c r="H409">
        <v>1</v>
      </c>
      <c r="I409">
        <v>0</v>
      </c>
      <c r="J409">
        <v>1</v>
      </c>
      <c r="K409">
        <v>0.5</v>
      </c>
    </row>
    <row r="410" spans="1:11" x14ac:dyDescent="0.2">
      <c r="A410" t="s">
        <v>126</v>
      </c>
      <c r="B410">
        <v>62</v>
      </c>
      <c r="C410" t="s">
        <v>27</v>
      </c>
      <c r="D410" t="s">
        <v>6</v>
      </c>
      <c r="E410" t="s">
        <v>103</v>
      </c>
      <c r="F410">
        <v>0</v>
      </c>
      <c r="G410">
        <v>0</v>
      </c>
      <c r="H410">
        <v>1</v>
      </c>
      <c r="I410">
        <v>0</v>
      </c>
      <c r="J410">
        <v>1</v>
      </c>
      <c r="K410">
        <v>0.5</v>
      </c>
    </row>
    <row r="411" spans="1:11" x14ac:dyDescent="0.2">
      <c r="A411" t="s">
        <v>126</v>
      </c>
      <c r="B411">
        <v>63</v>
      </c>
      <c r="C411" t="s">
        <v>4</v>
      </c>
      <c r="D411" t="s">
        <v>33</v>
      </c>
      <c r="E411" t="s">
        <v>36</v>
      </c>
      <c r="F411">
        <v>0</v>
      </c>
      <c r="G411">
        <v>1</v>
      </c>
      <c r="H411">
        <v>0</v>
      </c>
      <c r="I411">
        <v>0</v>
      </c>
      <c r="J411">
        <v>1</v>
      </c>
      <c r="K411">
        <v>0.75</v>
      </c>
    </row>
    <row r="412" spans="1:11" x14ac:dyDescent="0.2">
      <c r="A412" t="s">
        <v>126</v>
      </c>
      <c r="B412">
        <v>63</v>
      </c>
      <c r="C412" t="s">
        <v>4</v>
      </c>
      <c r="D412" t="s">
        <v>6</v>
      </c>
      <c r="E412" t="s">
        <v>45</v>
      </c>
      <c r="F412">
        <v>0</v>
      </c>
      <c r="G412">
        <v>1</v>
      </c>
      <c r="H412">
        <v>0</v>
      </c>
      <c r="I412">
        <v>0</v>
      </c>
      <c r="J412">
        <v>1</v>
      </c>
      <c r="K412">
        <v>0.75</v>
      </c>
    </row>
    <row r="413" spans="1:11" x14ac:dyDescent="0.2">
      <c r="A413" t="s">
        <v>126</v>
      </c>
      <c r="B413">
        <v>63</v>
      </c>
      <c r="C413" t="s">
        <v>4</v>
      </c>
      <c r="D413" t="s">
        <v>2</v>
      </c>
      <c r="E413" t="s">
        <v>32</v>
      </c>
      <c r="F413">
        <v>0</v>
      </c>
      <c r="G413">
        <v>0</v>
      </c>
      <c r="H413">
        <v>0</v>
      </c>
      <c r="I413">
        <v>1</v>
      </c>
      <c r="J413">
        <v>1</v>
      </c>
      <c r="K413">
        <v>0.1</v>
      </c>
    </row>
    <row r="414" spans="1:11" x14ac:dyDescent="0.2">
      <c r="A414" t="s">
        <v>126</v>
      </c>
      <c r="B414">
        <v>63</v>
      </c>
      <c r="C414" t="s">
        <v>1</v>
      </c>
      <c r="D414" t="s">
        <v>33</v>
      </c>
      <c r="E414" t="s">
        <v>45</v>
      </c>
      <c r="F414">
        <v>0</v>
      </c>
      <c r="G414">
        <v>1</v>
      </c>
      <c r="H414">
        <v>0</v>
      </c>
      <c r="I414">
        <v>0</v>
      </c>
      <c r="J414">
        <v>1</v>
      </c>
      <c r="K414">
        <v>0.75</v>
      </c>
    </row>
    <row r="415" spans="1:11" x14ac:dyDescent="0.2">
      <c r="A415" t="s">
        <v>126</v>
      </c>
      <c r="B415">
        <v>63</v>
      </c>
      <c r="C415" t="s">
        <v>23</v>
      </c>
      <c r="D415" t="s">
        <v>33</v>
      </c>
      <c r="E415" t="s">
        <v>34</v>
      </c>
      <c r="F415">
        <v>0</v>
      </c>
      <c r="G415">
        <v>0</v>
      </c>
      <c r="H415">
        <v>1</v>
      </c>
      <c r="I415">
        <v>0</v>
      </c>
      <c r="J415">
        <v>1</v>
      </c>
      <c r="K415">
        <v>0.6</v>
      </c>
    </row>
    <row r="416" spans="1:11" x14ac:dyDescent="0.2">
      <c r="A416" t="s">
        <v>126</v>
      </c>
      <c r="B416">
        <v>63</v>
      </c>
      <c r="C416" t="s">
        <v>23</v>
      </c>
      <c r="D416" t="s">
        <v>33</v>
      </c>
      <c r="E416" t="s">
        <v>40</v>
      </c>
      <c r="F416">
        <v>0</v>
      </c>
      <c r="G416">
        <v>1</v>
      </c>
      <c r="H416">
        <v>0</v>
      </c>
      <c r="I416">
        <v>0</v>
      </c>
      <c r="J416">
        <v>1</v>
      </c>
      <c r="K416">
        <v>0.75</v>
      </c>
    </row>
    <row r="417" spans="1:11" x14ac:dyDescent="0.2">
      <c r="A417" t="s">
        <v>126</v>
      </c>
      <c r="B417">
        <v>63</v>
      </c>
      <c r="C417" t="s">
        <v>27</v>
      </c>
      <c r="D417" t="s">
        <v>2</v>
      </c>
      <c r="E417" t="s">
        <v>42</v>
      </c>
      <c r="F417">
        <v>0</v>
      </c>
      <c r="G417">
        <v>0</v>
      </c>
      <c r="H417">
        <v>0</v>
      </c>
      <c r="I417">
        <v>1</v>
      </c>
      <c r="J417">
        <v>1</v>
      </c>
      <c r="K417">
        <v>0.1</v>
      </c>
    </row>
    <row r="418" spans="1:11" x14ac:dyDescent="0.2">
      <c r="A418" t="s">
        <v>126</v>
      </c>
      <c r="B418">
        <v>64</v>
      </c>
      <c r="C418" t="s">
        <v>4</v>
      </c>
      <c r="D418" t="s">
        <v>33</v>
      </c>
      <c r="E418" t="s">
        <v>36</v>
      </c>
      <c r="F418">
        <v>0</v>
      </c>
      <c r="G418">
        <v>1</v>
      </c>
      <c r="H418">
        <v>0</v>
      </c>
      <c r="I418">
        <v>0</v>
      </c>
      <c r="J418">
        <v>1</v>
      </c>
      <c r="K418">
        <v>0.75</v>
      </c>
    </row>
    <row r="419" spans="1:11" x14ac:dyDescent="0.2">
      <c r="A419" t="s">
        <v>126</v>
      </c>
      <c r="B419">
        <v>64</v>
      </c>
      <c r="C419" t="s">
        <v>4</v>
      </c>
      <c r="D419" t="s">
        <v>6</v>
      </c>
      <c r="E419" t="s">
        <v>45</v>
      </c>
      <c r="F419">
        <v>0</v>
      </c>
      <c r="G419">
        <v>2</v>
      </c>
      <c r="H419">
        <v>1</v>
      </c>
      <c r="I419">
        <v>0</v>
      </c>
      <c r="J419">
        <v>3</v>
      </c>
      <c r="K419">
        <v>2.1</v>
      </c>
    </row>
    <row r="420" spans="1:11" x14ac:dyDescent="0.2">
      <c r="A420" t="s">
        <v>126</v>
      </c>
      <c r="B420">
        <v>64</v>
      </c>
      <c r="C420" t="s">
        <v>4</v>
      </c>
      <c r="D420" t="s">
        <v>2</v>
      </c>
      <c r="E420" t="s">
        <v>32</v>
      </c>
      <c r="F420">
        <v>1</v>
      </c>
      <c r="G420">
        <v>0</v>
      </c>
      <c r="H420">
        <v>0</v>
      </c>
      <c r="I420">
        <v>0</v>
      </c>
      <c r="J420">
        <v>1</v>
      </c>
      <c r="K420">
        <v>1</v>
      </c>
    </row>
    <row r="421" spans="1:11" x14ac:dyDescent="0.2">
      <c r="A421" t="s">
        <v>126</v>
      </c>
      <c r="B421">
        <v>64</v>
      </c>
      <c r="C421" t="s">
        <v>1</v>
      </c>
      <c r="D421" t="s">
        <v>33</v>
      </c>
      <c r="E421" t="s">
        <v>45</v>
      </c>
      <c r="F421">
        <v>0</v>
      </c>
      <c r="G421">
        <v>2</v>
      </c>
      <c r="H421">
        <v>1</v>
      </c>
      <c r="I421">
        <v>0</v>
      </c>
      <c r="J421">
        <v>3</v>
      </c>
      <c r="K421">
        <v>2.1</v>
      </c>
    </row>
    <row r="422" spans="1:11" x14ac:dyDescent="0.2">
      <c r="A422" t="s">
        <v>126</v>
      </c>
      <c r="B422">
        <v>64</v>
      </c>
      <c r="C422" t="s">
        <v>15</v>
      </c>
      <c r="D422" t="s">
        <v>2</v>
      </c>
      <c r="E422" t="s">
        <v>16</v>
      </c>
      <c r="F422">
        <v>0</v>
      </c>
      <c r="G422">
        <v>0</v>
      </c>
      <c r="H422">
        <v>0</v>
      </c>
      <c r="I422">
        <v>4</v>
      </c>
      <c r="J422">
        <v>4</v>
      </c>
      <c r="K422">
        <v>0.4</v>
      </c>
    </row>
    <row r="423" spans="1:11" x14ac:dyDescent="0.2">
      <c r="A423" t="s">
        <v>126</v>
      </c>
      <c r="B423">
        <v>64</v>
      </c>
      <c r="C423" t="s">
        <v>15</v>
      </c>
      <c r="D423" t="s">
        <v>2</v>
      </c>
      <c r="E423" t="s">
        <v>38</v>
      </c>
      <c r="F423">
        <v>0</v>
      </c>
      <c r="G423">
        <v>0</v>
      </c>
      <c r="H423">
        <v>1</v>
      </c>
      <c r="I423">
        <v>0</v>
      </c>
      <c r="J423">
        <v>1</v>
      </c>
      <c r="K423">
        <v>0.5</v>
      </c>
    </row>
    <row r="424" spans="1:11" x14ac:dyDescent="0.2">
      <c r="A424" t="s">
        <v>126</v>
      </c>
      <c r="B424">
        <v>64</v>
      </c>
      <c r="C424" t="s">
        <v>15</v>
      </c>
      <c r="D424" t="s">
        <v>2</v>
      </c>
      <c r="E424" t="s">
        <v>46</v>
      </c>
      <c r="F424">
        <v>1</v>
      </c>
      <c r="G424">
        <v>0</v>
      </c>
      <c r="H424">
        <v>0</v>
      </c>
      <c r="I424">
        <v>0</v>
      </c>
      <c r="J424">
        <v>1</v>
      </c>
      <c r="K424">
        <v>1</v>
      </c>
    </row>
    <row r="425" spans="1:11" x14ac:dyDescent="0.2">
      <c r="A425" t="s">
        <v>126</v>
      </c>
      <c r="B425">
        <v>64</v>
      </c>
      <c r="C425" t="s">
        <v>18</v>
      </c>
      <c r="D425" t="s">
        <v>6</v>
      </c>
      <c r="E425" t="s">
        <v>19</v>
      </c>
      <c r="F425">
        <v>0</v>
      </c>
      <c r="G425">
        <v>0</v>
      </c>
      <c r="H425">
        <v>4</v>
      </c>
      <c r="I425">
        <v>0</v>
      </c>
      <c r="J425">
        <v>4</v>
      </c>
      <c r="K425">
        <v>2</v>
      </c>
    </row>
    <row r="426" spans="1:11" x14ac:dyDescent="0.2">
      <c r="A426" t="s">
        <v>126</v>
      </c>
      <c r="B426">
        <v>64</v>
      </c>
      <c r="C426" t="s">
        <v>23</v>
      </c>
      <c r="D426" t="s">
        <v>33</v>
      </c>
      <c r="E426" t="s">
        <v>34</v>
      </c>
      <c r="F426">
        <v>0</v>
      </c>
      <c r="G426">
        <v>1</v>
      </c>
      <c r="H426">
        <v>0</v>
      </c>
      <c r="I426">
        <v>0</v>
      </c>
      <c r="J426">
        <v>1</v>
      </c>
      <c r="K426">
        <v>0.75</v>
      </c>
    </row>
    <row r="427" spans="1:11" x14ac:dyDescent="0.2">
      <c r="A427" t="s">
        <v>126</v>
      </c>
      <c r="B427">
        <v>65</v>
      </c>
      <c r="C427" t="s">
        <v>15</v>
      </c>
      <c r="D427" t="s">
        <v>2</v>
      </c>
      <c r="E427" t="s">
        <v>16</v>
      </c>
      <c r="F427">
        <v>0</v>
      </c>
      <c r="G427">
        <v>0</v>
      </c>
      <c r="H427">
        <v>1</v>
      </c>
      <c r="I427">
        <v>0</v>
      </c>
      <c r="J427">
        <v>1</v>
      </c>
      <c r="K427">
        <v>0.5</v>
      </c>
    </row>
    <row r="428" spans="1:11" x14ac:dyDescent="0.2">
      <c r="A428" t="s">
        <v>126</v>
      </c>
      <c r="B428">
        <v>65</v>
      </c>
      <c r="C428" t="s">
        <v>27</v>
      </c>
      <c r="D428" t="s">
        <v>6</v>
      </c>
      <c r="E428" t="s">
        <v>55</v>
      </c>
      <c r="F428">
        <v>0</v>
      </c>
      <c r="G428">
        <v>0</v>
      </c>
      <c r="H428">
        <v>2</v>
      </c>
      <c r="I428">
        <v>0</v>
      </c>
      <c r="J428">
        <v>2</v>
      </c>
      <c r="K428">
        <v>1</v>
      </c>
    </row>
    <row r="429" spans="1:11" x14ac:dyDescent="0.2">
      <c r="A429" t="s">
        <v>126</v>
      </c>
      <c r="B429">
        <v>66</v>
      </c>
      <c r="C429" t="s">
        <v>4</v>
      </c>
      <c r="D429" t="s">
        <v>6</v>
      </c>
      <c r="E429" t="s">
        <v>45</v>
      </c>
      <c r="F429">
        <v>0</v>
      </c>
      <c r="G429">
        <v>0</v>
      </c>
      <c r="H429">
        <v>1</v>
      </c>
      <c r="I429">
        <v>0</v>
      </c>
      <c r="J429">
        <v>1</v>
      </c>
      <c r="K429">
        <v>0.5</v>
      </c>
    </row>
    <row r="430" spans="1:11" x14ac:dyDescent="0.2">
      <c r="A430" t="s">
        <v>126</v>
      </c>
      <c r="B430">
        <v>66</v>
      </c>
      <c r="C430" t="s">
        <v>1</v>
      </c>
      <c r="D430" t="s">
        <v>33</v>
      </c>
      <c r="E430" t="s">
        <v>45</v>
      </c>
      <c r="F430">
        <v>0</v>
      </c>
      <c r="G430">
        <v>0</v>
      </c>
      <c r="H430">
        <v>1</v>
      </c>
      <c r="I430">
        <v>0</v>
      </c>
      <c r="J430">
        <v>1</v>
      </c>
      <c r="K430">
        <v>0.5</v>
      </c>
    </row>
    <row r="431" spans="1:11" x14ac:dyDescent="0.2">
      <c r="A431" t="s">
        <v>126</v>
      </c>
      <c r="B431">
        <v>67</v>
      </c>
      <c r="C431" t="s">
        <v>4</v>
      </c>
      <c r="D431" t="s">
        <v>33</v>
      </c>
      <c r="E431" t="s">
        <v>36</v>
      </c>
      <c r="F431">
        <v>0</v>
      </c>
      <c r="G431">
        <v>1</v>
      </c>
      <c r="H431">
        <v>0</v>
      </c>
      <c r="I431">
        <v>0</v>
      </c>
      <c r="J431">
        <v>1</v>
      </c>
      <c r="K431">
        <v>0.75</v>
      </c>
    </row>
    <row r="432" spans="1:11" x14ac:dyDescent="0.2">
      <c r="A432" t="s">
        <v>126</v>
      </c>
      <c r="B432">
        <v>67</v>
      </c>
      <c r="C432" t="s">
        <v>18</v>
      </c>
      <c r="D432" t="s">
        <v>2</v>
      </c>
      <c r="E432" t="s">
        <v>21</v>
      </c>
      <c r="F432">
        <v>0</v>
      </c>
      <c r="G432">
        <v>0</v>
      </c>
      <c r="H432">
        <v>0</v>
      </c>
      <c r="I432">
        <v>5</v>
      </c>
      <c r="J432">
        <v>5</v>
      </c>
      <c r="K432">
        <v>0.5</v>
      </c>
    </row>
    <row r="433" spans="1:11" x14ac:dyDescent="0.2">
      <c r="A433" t="s">
        <v>126</v>
      </c>
      <c r="B433">
        <v>67</v>
      </c>
      <c r="C433" t="s">
        <v>27</v>
      </c>
      <c r="D433" t="s">
        <v>6</v>
      </c>
      <c r="E433" t="s">
        <v>55</v>
      </c>
      <c r="F433">
        <v>0</v>
      </c>
      <c r="G433">
        <v>0</v>
      </c>
      <c r="H433">
        <v>6</v>
      </c>
      <c r="I433">
        <v>2</v>
      </c>
      <c r="J433">
        <v>8</v>
      </c>
      <c r="K433">
        <v>3.2</v>
      </c>
    </row>
    <row r="434" spans="1:11" x14ac:dyDescent="0.2">
      <c r="A434" t="s">
        <v>126</v>
      </c>
      <c r="B434">
        <v>68</v>
      </c>
      <c r="C434" t="s">
        <v>4</v>
      </c>
      <c r="D434" t="s">
        <v>33</v>
      </c>
      <c r="E434" t="s">
        <v>36</v>
      </c>
      <c r="F434">
        <v>0</v>
      </c>
      <c r="G434">
        <v>1</v>
      </c>
      <c r="H434">
        <v>0</v>
      </c>
      <c r="I434">
        <v>0</v>
      </c>
      <c r="J434">
        <v>1</v>
      </c>
      <c r="K434">
        <v>0.75</v>
      </c>
    </row>
    <row r="435" spans="1:11" x14ac:dyDescent="0.2">
      <c r="A435" t="s">
        <v>126</v>
      </c>
      <c r="B435">
        <v>68</v>
      </c>
      <c r="C435" t="s">
        <v>4</v>
      </c>
      <c r="D435" t="s">
        <v>6</v>
      </c>
      <c r="E435" t="s">
        <v>45</v>
      </c>
      <c r="F435">
        <v>0</v>
      </c>
      <c r="G435">
        <v>0</v>
      </c>
      <c r="H435">
        <v>1</v>
      </c>
      <c r="I435">
        <v>0</v>
      </c>
      <c r="J435">
        <v>1</v>
      </c>
      <c r="K435">
        <v>0.5</v>
      </c>
    </row>
    <row r="436" spans="1:11" x14ac:dyDescent="0.2">
      <c r="A436" t="s">
        <v>126</v>
      </c>
      <c r="B436">
        <v>68</v>
      </c>
      <c r="C436" t="s">
        <v>1</v>
      </c>
      <c r="D436" t="s">
        <v>33</v>
      </c>
      <c r="E436" t="s">
        <v>45</v>
      </c>
      <c r="F436">
        <v>0</v>
      </c>
      <c r="G436">
        <v>0</v>
      </c>
      <c r="H436">
        <v>1</v>
      </c>
      <c r="I436">
        <v>0</v>
      </c>
      <c r="J436">
        <v>1</v>
      </c>
      <c r="K436">
        <v>0.5</v>
      </c>
    </row>
    <row r="437" spans="1:11" x14ac:dyDescent="0.2">
      <c r="A437" t="s">
        <v>126</v>
      </c>
      <c r="B437">
        <v>68</v>
      </c>
      <c r="C437" t="s">
        <v>18</v>
      </c>
      <c r="D437" t="s">
        <v>2</v>
      </c>
      <c r="E437" t="s">
        <v>21</v>
      </c>
      <c r="F437">
        <v>0</v>
      </c>
      <c r="G437">
        <v>0</v>
      </c>
      <c r="H437">
        <v>0</v>
      </c>
      <c r="I437">
        <v>1</v>
      </c>
      <c r="J437">
        <v>1</v>
      </c>
      <c r="K437">
        <v>0.1</v>
      </c>
    </row>
    <row r="438" spans="1:11" x14ac:dyDescent="0.2">
      <c r="A438" t="s">
        <v>126</v>
      </c>
      <c r="B438">
        <v>68</v>
      </c>
      <c r="C438" t="s">
        <v>18</v>
      </c>
      <c r="D438" t="s">
        <v>2</v>
      </c>
      <c r="E438" t="s">
        <v>54</v>
      </c>
      <c r="F438">
        <v>0</v>
      </c>
      <c r="G438">
        <v>0</v>
      </c>
      <c r="H438">
        <v>0</v>
      </c>
      <c r="I438">
        <v>1</v>
      </c>
      <c r="J438">
        <v>1</v>
      </c>
      <c r="K438">
        <v>0.1</v>
      </c>
    </row>
    <row r="439" spans="1:11" x14ac:dyDescent="0.2">
      <c r="A439" t="s">
        <v>126</v>
      </c>
      <c r="B439">
        <v>68</v>
      </c>
      <c r="C439" t="s">
        <v>23</v>
      </c>
      <c r="D439" t="s">
        <v>33</v>
      </c>
      <c r="E439" t="s">
        <v>40</v>
      </c>
      <c r="F439">
        <v>0</v>
      </c>
      <c r="G439">
        <v>2</v>
      </c>
      <c r="H439">
        <v>0</v>
      </c>
      <c r="I439">
        <v>0</v>
      </c>
      <c r="J439">
        <v>2</v>
      </c>
      <c r="K439">
        <v>1.5</v>
      </c>
    </row>
    <row r="440" spans="1:11" x14ac:dyDescent="0.2">
      <c r="A440" t="s">
        <v>126</v>
      </c>
      <c r="B440">
        <v>68</v>
      </c>
      <c r="C440" t="s">
        <v>23</v>
      </c>
      <c r="D440" t="s">
        <v>2</v>
      </c>
      <c r="E440" t="s">
        <v>61</v>
      </c>
      <c r="F440">
        <v>0</v>
      </c>
      <c r="G440">
        <v>0</v>
      </c>
      <c r="H440">
        <v>1</v>
      </c>
      <c r="I440">
        <v>0</v>
      </c>
      <c r="J440">
        <v>1</v>
      </c>
      <c r="K440">
        <v>0.5</v>
      </c>
    </row>
    <row r="441" spans="1:11" x14ac:dyDescent="0.2">
      <c r="A441" t="s">
        <v>126</v>
      </c>
      <c r="B441">
        <v>68</v>
      </c>
      <c r="C441" t="s">
        <v>27</v>
      </c>
      <c r="D441" t="s">
        <v>6</v>
      </c>
      <c r="E441" t="s">
        <v>55</v>
      </c>
      <c r="F441">
        <v>0</v>
      </c>
      <c r="G441">
        <v>0</v>
      </c>
      <c r="H441">
        <v>4</v>
      </c>
      <c r="I441">
        <v>0</v>
      </c>
      <c r="J441">
        <v>4</v>
      </c>
      <c r="K441">
        <v>2</v>
      </c>
    </row>
    <row r="442" spans="1:11" x14ac:dyDescent="0.2">
      <c r="A442" t="s">
        <v>126</v>
      </c>
      <c r="B442">
        <v>69</v>
      </c>
      <c r="C442" t="s">
        <v>4</v>
      </c>
      <c r="D442" t="s">
        <v>6</v>
      </c>
      <c r="E442" t="s">
        <v>45</v>
      </c>
      <c r="F442">
        <v>0</v>
      </c>
      <c r="G442">
        <v>0</v>
      </c>
      <c r="H442">
        <v>1</v>
      </c>
      <c r="I442">
        <v>0</v>
      </c>
      <c r="J442">
        <v>1</v>
      </c>
      <c r="K442">
        <v>0.5</v>
      </c>
    </row>
    <row r="443" spans="1:11" x14ac:dyDescent="0.2">
      <c r="A443" t="s">
        <v>126</v>
      </c>
      <c r="B443">
        <v>69</v>
      </c>
      <c r="C443" t="s">
        <v>1</v>
      </c>
      <c r="D443" t="s">
        <v>33</v>
      </c>
      <c r="E443" t="s">
        <v>45</v>
      </c>
      <c r="F443">
        <v>0</v>
      </c>
      <c r="G443">
        <v>0</v>
      </c>
      <c r="H443">
        <v>1</v>
      </c>
      <c r="I443">
        <v>0</v>
      </c>
      <c r="J443">
        <v>1</v>
      </c>
      <c r="K443">
        <v>0.5</v>
      </c>
    </row>
    <row r="444" spans="1:11" x14ac:dyDescent="0.2">
      <c r="A444" t="s">
        <v>126</v>
      </c>
      <c r="B444">
        <v>69</v>
      </c>
      <c r="C444" t="s">
        <v>1</v>
      </c>
      <c r="D444" t="s">
        <v>2</v>
      </c>
      <c r="E444" t="s">
        <v>92</v>
      </c>
      <c r="F444">
        <v>0</v>
      </c>
      <c r="G444">
        <v>0</v>
      </c>
      <c r="H444">
        <v>1</v>
      </c>
      <c r="I444">
        <v>0</v>
      </c>
      <c r="J444">
        <v>1</v>
      </c>
      <c r="K444">
        <v>0.5</v>
      </c>
    </row>
    <row r="445" spans="1:11" x14ac:dyDescent="0.2">
      <c r="A445" t="s">
        <v>126</v>
      </c>
      <c r="B445">
        <v>69</v>
      </c>
      <c r="C445" t="s">
        <v>15</v>
      </c>
      <c r="D445" t="s">
        <v>2</v>
      </c>
      <c r="E445" t="s">
        <v>16</v>
      </c>
      <c r="F445">
        <v>0</v>
      </c>
      <c r="G445">
        <v>0</v>
      </c>
      <c r="H445">
        <v>2</v>
      </c>
      <c r="I445">
        <v>0</v>
      </c>
      <c r="J445">
        <v>2</v>
      </c>
      <c r="K445">
        <v>1</v>
      </c>
    </row>
    <row r="446" spans="1:11" x14ac:dyDescent="0.2">
      <c r="A446" t="s">
        <v>126</v>
      </c>
      <c r="B446">
        <v>69</v>
      </c>
      <c r="C446" t="s">
        <v>18</v>
      </c>
      <c r="D446" t="s">
        <v>2</v>
      </c>
      <c r="E446" t="s">
        <v>21</v>
      </c>
      <c r="F446">
        <v>0</v>
      </c>
      <c r="G446">
        <v>0</v>
      </c>
      <c r="H446">
        <v>0</v>
      </c>
      <c r="I446">
        <v>1</v>
      </c>
      <c r="J446">
        <v>1</v>
      </c>
      <c r="K446">
        <v>0.1</v>
      </c>
    </row>
    <row r="447" spans="1:11" x14ac:dyDescent="0.2">
      <c r="A447" t="s">
        <v>126</v>
      </c>
      <c r="B447">
        <v>69</v>
      </c>
      <c r="C447" t="s">
        <v>18</v>
      </c>
      <c r="D447" t="s">
        <v>6</v>
      </c>
      <c r="E447" t="s">
        <v>93</v>
      </c>
      <c r="F447">
        <v>0</v>
      </c>
      <c r="G447">
        <v>0</v>
      </c>
      <c r="H447">
        <v>1</v>
      </c>
      <c r="I447">
        <v>0</v>
      </c>
      <c r="J447">
        <v>1</v>
      </c>
      <c r="K447">
        <v>0.5</v>
      </c>
    </row>
    <row r="448" spans="1:11" x14ac:dyDescent="0.2">
      <c r="A448" t="s">
        <v>126</v>
      </c>
      <c r="B448">
        <v>69</v>
      </c>
      <c r="C448" t="s">
        <v>18</v>
      </c>
      <c r="D448" t="s">
        <v>6</v>
      </c>
      <c r="E448" t="s">
        <v>22</v>
      </c>
      <c r="F448">
        <v>0</v>
      </c>
      <c r="G448">
        <v>0</v>
      </c>
      <c r="H448">
        <v>1</v>
      </c>
      <c r="I448">
        <v>0</v>
      </c>
      <c r="J448">
        <v>1</v>
      </c>
      <c r="K448">
        <v>0.5</v>
      </c>
    </row>
    <row r="449" spans="1:11" x14ac:dyDescent="0.2">
      <c r="A449" t="s">
        <v>126</v>
      </c>
      <c r="B449">
        <v>69</v>
      </c>
      <c r="C449" t="s">
        <v>23</v>
      </c>
      <c r="D449" t="s">
        <v>33</v>
      </c>
      <c r="E449" t="s">
        <v>40</v>
      </c>
      <c r="F449">
        <v>0</v>
      </c>
      <c r="G449">
        <v>0</v>
      </c>
      <c r="H449">
        <v>1</v>
      </c>
      <c r="I449">
        <v>0</v>
      </c>
      <c r="J449">
        <v>1</v>
      </c>
      <c r="K449">
        <v>0.5</v>
      </c>
    </row>
    <row r="450" spans="1:11" x14ac:dyDescent="0.2">
      <c r="A450" t="s">
        <v>126</v>
      </c>
      <c r="B450">
        <v>70</v>
      </c>
      <c r="C450" t="s">
        <v>4</v>
      </c>
      <c r="D450" t="s">
        <v>6</v>
      </c>
      <c r="E450" t="s">
        <v>45</v>
      </c>
      <c r="F450">
        <v>0</v>
      </c>
      <c r="G450">
        <v>0</v>
      </c>
      <c r="H450">
        <v>0</v>
      </c>
      <c r="I450">
        <v>1</v>
      </c>
      <c r="J450">
        <v>1</v>
      </c>
      <c r="K450">
        <v>0.1</v>
      </c>
    </row>
    <row r="451" spans="1:11" x14ac:dyDescent="0.2">
      <c r="A451" t="s">
        <v>126</v>
      </c>
      <c r="B451">
        <v>70</v>
      </c>
      <c r="C451" t="s">
        <v>4</v>
      </c>
      <c r="D451" t="s">
        <v>6</v>
      </c>
      <c r="E451" t="s">
        <v>10</v>
      </c>
      <c r="F451">
        <v>0</v>
      </c>
      <c r="G451">
        <v>0</v>
      </c>
      <c r="H451">
        <v>2</v>
      </c>
      <c r="I451">
        <v>0</v>
      </c>
      <c r="J451">
        <v>2</v>
      </c>
      <c r="K451">
        <v>1</v>
      </c>
    </row>
    <row r="452" spans="1:11" x14ac:dyDescent="0.2">
      <c r="A452" t="s">
        <v>126</v>
      </c>
      <c r="B452">
        <v>70</v>
      </c>
      <c r="C452" t="s">
        <v>1</v>
      </c>
      <c r="D452" t="s">
        <v>33</v>
      </c>
      <c r="E452" t="s">
        <v>45</v>
      </c>
      <c r="F452">
        <v>0</v>
      </c>
      <c r="G452">
        <v>0</v>
      </c>
      <c r="H452">
        <v>0</v>
      </c>
      <c r="I452">
        <v>1</v>
      </c>
      <c r="J452">
        <v>1</v>
      </c>
      <c r="K452">
        <v>0.1</v>
      </c>
    </row>
    <row r="453" spans="1:11" x14ac:dyDescent="0.2">
      <c r="A453" t="s">
        <v>126</v>
      </c>
      <c r="B453">
        <v>70</v>
      </c>
      <c r="C453" t="s">
        <v>15</v>
      </c>
      <c r="D453" t="s">
        <v>2</v>
      </c>
      <c r="E453" t="s">
        <v>16</v>
      </c>
      <c r="F453">
        <v>0</v>
      </c>
      <c r="G453">
        <v>0</v>
      </c>
      <c r="H453">
        <v>1</v>
      </c>
      <c r="I453">
        <v>0</v>
      </c>
      <c r="J453">
        <v>1</v>
      </c>
      <c r="K453">
        <v>0.5</v>
      </c>
    </row>
    <row r="454" spans="1:11" x14ac:dyDescent="0.2">
      <c r="A454" t="s">
        <v>126</v>
      </c>
      <c r="B454">
        <v>70</v>
      </c>
      <c r="C454" t="s">
        <v>18</v>
      </c>
      <c r="D454" t="s">
        <v>2</v>
      </c>
      <c r="E454" t="s">
        <v>21</v>
      </c>
      <c r="F454">
        <v>0</v>
      </c>
      <c r="G454">
        <v>0</v>
      </c>
      <c r="H454">
        <v>0</v>
      </c>
      <c r="I454">
        <v>1</v>
      </c>
      <c r="J454">
        <v>1</v>
      </c>
      <c r="K454">
        <v>0.1</v>
      </c>
    </row>
    <row r="455" spans="1:11" x14ac:dyDescent="0.2">
      <c r="A455" t="s">
        <v>126</v>
      </c>
      <c r="B455">
        <v>70</v>
      </c>
      <c r="C455" t="s">
        <v>18</v>
      </c>
      <c r="D455" t="s">
        <v>2</v>
      </c>
      <c r="E455" t="s">
        <v>54</v>
      </c>
      <c r="F455">
        <v>0</v>
      </c>
      <c r="G455">
        <v>0</v>
      </c>
      <c r="H455">
        <v>0</v>
      </c>
      <c r="I455">
        <v>1</v>
      </c>
      <c r="J455">
        <v>1</v>
      </c>
      <c r="K455">
        <v>0.1</v>
      </c>
    </row>
    <row r="456" spans="1:11" x14ac:dyDescent="0.2">
      <c r="A456" t="s">
        <v>126</v>
      </c>
      <c r="B456">
        <v>70</v>
      </c>
      <c r="C456" t="s">
        <v>23</v>
      </c>
      <c r="D456" t="s">
        <v>2</v>
      </c>
      <c r="E456" t="s">
        <v>58</v>
      </c>
      <c r="F456">
        <v>0</v>
      </c>
      <c r="G456">
        <v>0</v>
      </c>
      <c r="H456">
        <v>0</v>
      </c>
      <c r="I456">
        <v>1</v>
      </c>
      <c r="J456">
        <v>1</v>
      </c>
      <c r="K456">
        <v>0.1</v>
      </c>
    </row>
    <row r="457" spans="1:11" x14ac:dyDescent="0.2">
      <c r="A457" t="s">
        <v>126</v>
      </c>
      <c r="B457">
        <v>70</v>
      </c>
      <c r="C457" t="s">
        <v>23</v>
      </c>
      <c r="D457" t="s">
        <v>2</v>
      </c>
      <c r="E457" t="s">
        <v>10</v>
      </c>
      <c r="F457">
        <v>0</v>
      </c>
      <c r="G457">
        <v>0</v>
      </c>
      <c r="H457">
        <v>2</v>
      </c>
      <c r="I457">
        <v>0</v>
      </c>
      <c r="J457">
        <v>2</v>
      </c>
      <c r="K457">
        <v>1</v>
      </c>
    </row>
    <row r="458" spans="1:11" x14ac:dyDescent="0.2">
      <c r="A458" t="s">
        <v>126</v>
      </c>
      <c r="B458">
        <v>70</v>
      </c>
      <c r="C458" t="s">
        <v>23</v>
      </c>
      <c r="D458" t="s">
        <v>6</v>
      </c>
      <c r="E458" t="s">
        <v>25</v>
      </c>
      <c r="F458">
        <v>0</v>
      </c>
      <c r="G458">
        <v>0</v>
      </c>
      <c r="H458">
        <v>2</v>
      </c>
      <c r="I458">
        <v>0</v>
      </c>
      <c r="J458">
        <v>2</v>
      </c>
      <c r="K458">
        <v>1</v>
      </c>
    </row>
    <row r="459" spans="1:11" x14ac:dyDescent="0.2">
      <c r="A459" t="s">
        <v>126</v>
      </c>
      <c r="B459">
        <v>70</v>
      </c>
      <c r="C459" t="s">
        <v>27</v>
      </c>
      <c r="D459" t="s">
        <v>6</v>
      </c>
      <c r="E459" t="s">
        <v>55</v>
      </c>
      <c r="F459">
        <v>0</v>
      </c>
      <c r="G459">
        <v>0</v>
      </c>
      <c r="H459">
        <v>1</v>
      </c>
      <c r="I459">
        <v>0</v>
      </c>
      <c r="J459">
        <v>1</v>
      </c>
      <c r="K459">
        <v>0.5</v>
      </c>
    </row>
    <row r="460" spans="1:11" x14ac:dyDescent="0.2">
      <c r="A460" t="s">
        <v>126</v>
      </c>
      <c r="B460">
        <v>71</v>
      </c>
      <c r="C460" t="s">
        <v>4</v>
      </c>
      <c r="D460" t="s">
        <v>33</v>
      </c>
      <c r="E460" t="s">
        <v>36</v>
      </c>
      <c r="F460">
        <v>0</v>
      </c>
      <c r="G460">
        <v>1</v>
      </c>
      <c r="H460">
        <v>0</v>
      </c>
      <c r="I460">
        <v>0</v>
      </c>
      <c r="J460">
        <v>1</v>
      </c>
      <c r="K460">
        <v>0.75</v>
      </c>
    </row>
    <row r="461" spans="1:11" x14ac:dyDescent="0.2">
      <c r="A461" t="s">
        <v>126</v>
      </c>
      <c r="B461">
        <v>71</v>
      </c>
      <c r="C461" t="s">
        <v>27</v>
      </c>
      <c r="D461" t="s">
        <v>6</v>
      </c>
      <c r="E461" t="s">
        <v>55</v>
      </c>
      <c r="F461">
        <v>0</v>
      </c>
      <c r="G461">
        <v>0</v>
      </c>
      <c r="H461">
        <v>1</v>
      </c>
      <c r="I461">
        <v>0</v>
      </c>
      <c r="J461">
        <v>1</v>
      </c>
      <c r="K461">
        <v>0.5</v>
      </c>
    </row>
    <row r="462" spans="1:11" x14ac:dyDescent="0.2">
      <c r="A462" t="s">
        <v>126</v>
      </c>
      <c r="B462">
        <v>72</v>
      </c>
      <c r="C462" t="s">
        <v>4</v>
      </c>
      <c r="D462" t="s">
        <v>6</v>
      </c>
      <c r="E462" t="s">
        <v>10</v>
      </c>
      <c r="F462">
        <v>0</v>
      </c>
      <c r="G462">
        <v>0</v>
      </c>
      <c r="H462">
        <v>2</v>
      </c>
      <c r="I462">
        <v>0</v>
      </c>
      <c r="J462">
        <v>2</v>
      </c>
      <c r="K462">
        <v>1</v>
      </c>
    </row>
    <row r="463" spans="1:11" x14ac:dyDescent="0.2">
      <c r="A463" t="s">
        <v>126</v>
      </c>
      <c r="B463">
        <v>72</v>
      </c>
      <c r="C463" t="s">
        <v>4</v>
      </c>
      <c r="D463" t="s">
        <v>2</v>
      </c>
      <c r="E463" t="s">
        <v>32</v>
      </c>
      <c r="F463">
        <v>0</v>
      </c>
      <c r="G463">
        <v>0</v>
      </c>
      <c r="H463">
        <v>0</v>
      </c>
      <c r="I463">
        <v>2</v>
      </c>
      <c r="J463">
        <v>2</v>
      </c>
      <c r="K463">
        <v>0.2</v>
      </c>
    </row>
    <row r="464" spans="1:11" x14ac:dyDescent="0.2">
      <c r="A464" t="s">
        <v>126</v>
      </c>
      <c r="B464">
        <v>72</v>
      </c>
      <c r="C464" t="s">
        <v>23</v>
      </c>
      <c r="D464" t="s">
        <v>33</v>
      </c>
      <c r="E464" t="s">
        <v>34</v>
      </c>
      <c r="F464">
        <v>0</v>
      </c>
      <c r="G464">
        <v>0</v>
      </c>
      <c r="H464">
        <v>2</v>
      </c>
      <c r="I464">
        <v>0</v>
      </c>
      <c r="J464">
        <v>2</v>
      </c>
      <c r="K464">
        <v>1.2</v>
      </c>
    </row>
    <row r="465" spans="1:11" x14ac:dyDescent="0.2">
      <c r="A465" t="s">
        <v>126</v>
      </c>
      <c r="B465">
        <v>72</v>
      </c>
      <c r="C465" t="s">
        <v>23</v>
      </c>
      <c r="D465" t="s">
        <v>2</v>
      </c>
      <c r="E465" t="s">
        <v>10</v>
      </c>
      <c r="F465">
        <v>0</v>
      </c>
      <c r="G465">
        <v>0</v>
      </c>
      <c r="H465">
        <v>2</v>
      </c>
      <c r="I465">
        <v>0</v>
      </c>
      <c r="J465">
        <v>2</v>
      </c>
      <c r="K465">
        <v>1</v>
      </c>
    </row>
    <row r="466" spans="1:11" x14ac:dyDescent="0.2">
      <c r="A466" t="s">
        <v>126</v>
      </c>
      <c r="B466">
        <v>72</v>
      </c>
      <c r="C466" t="s">
        <v>23</v>
      </c>
      <c r="D466" t="s">
        <v>6</v>
      </c>
      <c r="E466" t="s">
        <v>25</v>
      </c>
      <c r="F466">
        <v>0</v>
      </c>
      <c r="G466">
        <v>0</v>
      </c>
      <c r="H466">
        <v>2</v>
      </c>
      <c r="I466">
        <v>0</v>
      </c>
      <c r="J466">
        <v>2</v>
      </c>
      <c r="K466">
        <v>1</v>
      </c>
    </row>
    <row r="467" spans="1:11" x14ac:dyDescent="0.2">
      <c r="A467" t="s">
        <v>126</v>
      </c>
      <c r="B467">
        <v>73</v>
      </c>
      <c r="C467" t="s">
        <v>4</v>
      </c>
      <c r="D467" t="s">
        <v>33</v>
      </c>
      <c r="E467" t="s">
        <v>36</v>
      </c>
      <c r="F467">
        <v>0</v>
      </c>
      <c r="G467">
        <v>1</v>
      </c>
      <c r="H467">
        <v>0</v>
      </c>
      <c r="I467">
        <v>0</v>
      </c>
      <c r="J467">
        <v>1</v>
      </c>
      <c r="K467">
        <v>0.75</v>
      </c>
    </row>
    <row r="468" spans="1:11" x14ac:dyDescent="0.2">
      <c r="A468" t="s">
        <v>126</v>
      </c>
      <c r="B468">
        <v>73</v>
      </c>
      <c r="C468" t="s">
        <v>4</v>
      </c>
      <c r="D468" t="s">
        <v>2</v>
      </c>
      <c r="E468" t="s">
        <v>9</v>
      </c>
      <c r="F468">
        <v>1</v>
      </c>
      <c r="G468">
        <v>0</v>
      </c>
      <c r="H468">
        <v>1</v>
      </c>
      <c r="I468">
        <v>0</v>
      </c>
      <c r="J468">
        <v>2</v>
      </c>
      <c r="K468">
        <v>1.5</v>
      </c>
    </row>
    <row r="469" spans="1:11" x14ac:dyDescent="0.2">
      <c r="A469" t="s">
        <v>126</v>
      </c>
      <c r="B469">
        <v>73</v>
      </c>
      <c r="C469" t="s">
        <v>4</v>
      </c>
      <c r="D469" t="s">
        <v>2</v>
      </c>
      <c r="E469" t="s">
        <v>32</v>
      </c>
      <c r="F469">
        <v>0</v>
      </c>
      <c r="G469">
        <v>0</v>
      </c>
      <c r="H469">
        <v>1</v>
      </c>
      <c r="I469">
        <v>0</v>
      </c>
      <c r="J469">
        <v>1</v>
      </c>
      <c r="K469">
        <v>0.5</v>
      </c>
    </row>
    <row r="470" spans="1:11" x14ac:dyDescent="0.2">
      <c r="A470" t="s">
        <v>126</v>
      </c>
      <c r="B470">
        <v>73</v>
      </c>
      <c r="C470" t="s">
        <v>15</v>
      </c>
      <c r="D470" t="s">
        <v>6</v>
      </c>
      <c r="E470" t="s">
        <v>37</v>
      </c>
      <c r="F470">
        <v>0</v>
      </c>
      <c r="G470">
        <v>1</v>
      </c>
      <c r="H470">
        <v>0</v>
      </c>
      <c r="I470">
        <v>0</v>
      </c>
      <c r="J470">
        <v>1</v>
      </c>
      <c r="K470">
        <v>0.75</v>
      </c>
    </row>
    <row r="471" spans="1:11" x14ac:dyDescent="0.2">
      <c r="A471" t="s">
        <v>126</v>
      </c>
      <c r="B471">
        <v>73</v>
      </c>
      <c r="C471" t="s">
        <v>18</v>
      </c>
      <c r="D471" t="s">
        <v>6</v>
      </c>
      <c r="E471" t="s">
        <v>39</v>
      </c>
      <c r="F471">
        <v>0</v>
      </c>
      <c r="G471">
        <v>0</v>
      </c>
      <c r="H471">
        <v>4</v>
      </c>
      <c r="I471">
        <v>0</v>
      </c>
      <c r="J471">
        <v>4</v>
      </c>
      <c r="K471">
        <v>2</v>
      </c>
    </row>
    <row r="472" spans="1:11" x14ac:dyDescent="0.2">
      <c r="A472" t="s">
        <v>126</v>
      </c>
      <c r="B472">
        <v>73</v>
      </c>
      <c r="C472" t="s">
        <v>23</v>
      </c>
      <c r="D472" t="s">
        <v>33</v>
      </c>
      <c r="E472" t="s">
        <v>34</v>
      </c>
      <c r="F472">
        <v>0</v>
      </c>
      <c r="G472">
        <v>0</v>
      </c>
      <c r="H472">
        <v>1</v>
      </c>
      <c r="I472">
        <v>0</v>
      </c>
      <c r="J472">
        <v>1</v>
      </c>
      <c r="K472">
        <v>0.5</v>
      </c>
    </row>
    <row r="473" spans="1:11" x14ac:dyDescent="0.2">
      <c r="A473" t="s">
        <v>126</v>
      </c>
      <c r="B473">
        <v>75</v>
      </c>
      <c r="C473" t="s">
        <v>4</v>
      </c>
      <c r="D473" t="s">
        <v>6</v>
      </c>
      <c r="E473" t="s">
        <v>45</v>
      </c>
      <c r="F473">
        <v>0</v>
      </c>
      <c r="G473">
        <v>0</v>
      </c>
      <c r="H473">
        <v>1</v>
      </c>
      <c r="I473">
        <v>0</v>
      </c>
      <c r="J473">
        <v>1</v>
      </c>
      <c r="K473">
        <v>0.5</v>
      </c>
    </row>
    <row r="474" spans="1:11" x14ac:dyDescent="0.2">
      <c r="A474" t="s">
        <v>126</v>
      </c>
      <c r="B474">
        <v>75</v>
      </c>
      <c r="C474" t="s">
        <v>4</v>
      </c>
      <c r="D474" t="s">
        <v>2</v>
      </c>
      <c r="E474" t="s">
        <v>7</v>
      </c>
      <c r="F474">
        <v>0</v>
      </c>
      <c r="G474">
        <v>2</v>
      </c>
      <c r="H474">
        <v>0</v>
      </c>
      <c r="I474">
        <v>0</v>
      </c>
      <c r="J474">
        <v>2</v>
      </c>
      <c r="K474">
        <v>1.5</v>
      </c>
    </row>
    <row r="475" spans="1:11" x14ac:dyDescent="0.2">
      <c r="A475" t="s">
        <v>126</v>
      </c>
      <c r="B475">
        <v>75</v>
      </c>
      <c r="C475" t="s">
        <v>4</v>
      </c>
      <c r="D475" t="s">
        <v>2</v>
      </c>
      <c r="E475" t="s">
        <v>9</v>
      </c>
      <c r="F475">
        <v>2</v>
      </c>
      <c r="G475">
        <v>0</v>
      </c>
      <c r="H475">
        <v>3</v>
      </c>
      <c r="I475">
        <v>0</v>
      </c>
      <c r="J475">
        <v>5</v>
      </c>
      <c r="K475">
        <v>3.5</v>
      </c>
    </row>
    <row r="476" spans="1:11" x14ac:dyDescent="0.2">
      <c r="A476" t="s">
        <v>126</v>
      </c>
      <c r="B476">
        <v>75</v>
      </c>
      <c r="C476" t="s">
        <v>1</v>
      </c>
      <c r="D476" t="s">
        <v>33</v>
      </c>
      <c r="E476" t="s">
        <v>45</v>
      </c>
      <c r="F476">
        <v>0</v>
      </c>
      <c r="G476">
        <v>0</v>
      </c>
      <c r="H476">
        <v>1</v>
      </c>
      <c r="I476">
        <v>0</v>
      </c>
      <c r="J476">
        <v>1</v>
      </c>
      <c r="K476">
        <v>0.5</v>
      </c>
    </row>
    <row r="477" spans="1:11" x14ac:dyDescent="0.2">
      <c r="A477" t="s">
        <v>126</v>
      </c>
      <c r="B477">
        <v>75</v>
      </c>
      <c r="C477" t="s">
        <v>1</v>
      </c>
      <c r="D477" t="s">
        <v>2</v>
      </c>
      <c r="E477" t="s">
        <v>92</v>
      </c>
      <c r="F477">
        <v>0</v>
      </c>
      <c r="G477">
        <v>0</v>
      </c>
      <c r="H477">
        <v>1</v>
      </c>
      <c r="I477">
        <v>0</v>
      </c>
      <c r="J477">
        <v>1</v>
      </c>
      <c r="K477">
        <v>0.5</v>
      </c>
    </row>
    <row r="478" spans="1:11" x14ac:dyDescent="0.2">
      <c r="A478" t="s">
        <v>126</v>
      </c>
      <c r="B478">
        <v>75</v>
      </c>
      <c r="C478" t="s">
        <v>15</v>
      </c>
      <c r="D478" t="s">
        <v>2</v>
      </c>
      <c r="E478" t="s">
        <v>77</v>
      </c>
      <c r="F478">
        <v>0</v>
      </c>
      <c r="G478">
        <v>0</v>
      </c>
      <c r="H478">
        <v>1</v>
      </c>
      <c r="I478">
        <v>0</v>
      </c>
      <c r="J478">
        <v>1</v>
      </c>
      <c r="K478">
        <v>0.5</v>
      </c>
    </row>
    <row r="479" spans="1:11" x14ac:dyDescent="0.2">
      <c r="A479" t="s">
        <v>126</v>
      </c>
      <c r="B479">
        <v>75</v>
      </c>
      <c r="C479" t="s">
        <v>18</v>
      </c>
      <c r="D479" t="s">
        <v>6</v>
      </c>
      <c r="E479" t="s">
        <v>93</v>
      </c>
      <c r="F479">
        <v>0</v>
      </c>
      <c r="G479">
        <v>0</v>
      </c>
      <c r="H479">
        <v>1</v>
      </c>
      <c r="I479">
        <v>0</v>
      </c>
      <c r="J479">
        <v>1</v>
      </c>
      <c r="K479">
        <v>0.5</v>
      </c>
    </row>
    <row r="480" spans="1:11" x14ac:dyDescent="0.2">
      <c r="A480" t="s">
        <v>126</v>
      </c>
      <c r="B480">
        <v>75</v>
      </c>
      <c r="C480" t="s">
        <v>18</v>
      </c>
      <c r="D480" t="s">
        <v>6</v>
      </c>
      <c r="E480" t="s">
        <v>39</v>
      </c>
      <c r="F480">
        <v>0</v>
      </c>
      <c r="G480">
        <v>0</v>
      </c>
      <c r="H480">
        <v>4</v>
      </c>
      <c r="I480">
        <v>2</v>
      </c>
      <c r="J480">
        <v>6</v>
      </c>
      <c r="K480">
        <v>2.2000000000000002</v>
      </c>
    </row>
    <row r="481" spans="1:11" x14ac:dyDescent="0.2">
      <c r="A481" t="s">
        <v>126</v>
      </c>
      <c r="B481">
        <v>75</v>
      </c>
      <c r="C481" t="s">
        <v>23</v>
      </c>
      <c r="D481" t="s">
        <v>2</v>
      </c>
      <c r="E481" t="s">
        <v>56</v>
      </c>
      <c r="F481">
        <v>1</v>
      </c>
      <c r="G481">
        <v>0</v>
      </c>
      <c r="H481">
        <v>0</v>
      </c>
      <c r="I481">
        <v>0</v>
      </c>
      <c r="J481">
        <v>1</v>
      </c>
      <c r="K481">
        <v>1</v>
      </c>
    </row>
    <row r="482" spans="1:11" x14ac:dyDescent="0.2">
      <c r="A482" t="s">
        <v>126</v>
      </c>
      <c r="B482">
        <v>76</v>
      </c>
      <c r="C482" t="s">
        <v>18</v>
      </c>
      <c r="D482" t="s">
        <v>2</v>
      </c>
      <c r="E482" t="s">
        <v>54</v>
      </c>
      <c r="F482">
        <v>0</v>
      </c>
      <c r="G482">
        <v>0</v>
      </c>
      <c r="H482">
        <v>0</v>
      </c>
      <c r="I482">
        <v>1</v>
      </c>
      <c r="J482">
        <v>1</v>
      </c>
      <c r="K482">
        <v>0.1</v>
      </c>
    </row>
    <row r="483" spans="1:11" x14ac:dyDescent="0.2">
      <c r="A483" t="s">
        <v>126</v>
      </c>
      <c r="B483">
        <v>76</v>
      </c>
      <c r="C483" t="s">
        <v>23</v>
      </c>
      <c r="D483" t="s">
        <v>2</v>
      </c>
      <c r="E483" t="s">
        <v>35</v>
      </c>
      <c r="F483">
        <v>0</v>
      </c>
      <c r="G483">
        <v>0</v>
      </c>
      <c r="H483">
        <v>1</v>
      </c>
      <c r="I483">
        <v>0</v>
      </c>
      <c r="J483">
        <v>1</v>
      </c>
      <c r="K483">
        <v>0.5</v>
      </c>
    </row>
    <row r="484" spans="1:11" x14ac:dyDescent="0.2">
      <c r="A484" t="s">
        <v>126</v>
      </c>
      <c r="B484">
        <v>76</v>
      </c>
      <c r="C484" t="s">
        <v>27</v>
      </c>
      <c r="D484" t="s">
        <v>2</v>
      </c>
      <c r="E484" t="s">
        <v>49</v>
      </c>
      <c r="F484">
        <v>1</v>
      </c>
      <c r="G484">
        <v>0</v>
      </c>
      <c r="H484">
        <v>0</v>
      </c>
      <c r="I484">
        <v>0</v>
      </c>
      <c r="J484">
        <v>1</v>
      </c>
      <c r="K484">
        <v>1</v>
      </c>
    </row>
    <row r="485" spans="1:11" x14ac:dyDescent="0.2">
      <c r="A485" t="s">
        <v>126</v>
      </c>
      <c r="B485">
        <v>76</v>
      </c>
      <c r="C485" t="s">
        <v>27</v>
      </c>
      <c r="D485" t="s">
        <v>6</v>
      </c>
      <c r="E485" t="s">
        <v>50</v>
      </c>
      <c r="F485">
        <v>0</v>
      </c>
      <c r="G485">
        <v>0</v>
      </c>
      <c r="H485">
        <v>1</v>
      </c>
      <c r="I485">
        <v>0</v>
      </c>
      <c r="J485">
        <v>1</v>
      </c>
      <c r="K485">
        <v>0.5</v>
      </c>
    </row>
    <row r="486" spans="1:11" x14ac:dyDescent="0.2">
      <c r="A486" t="s">
        <v>126</v>
      </c>
      <c r="B486">
        <v>76</v>
      </c>
      <c r="C486" t="s">
        <v>27</v>
      </c>
      <c r="D486" t="s">
        <v>33</v>
      </c>
      <c r="E486" t="s">
        <v>50</v>
      </c>
      <c r="F486">
        <v>0</v>
      </c>
      <c r="G486">
        <v>0</v>
      </c>
      <c r="H486">
        <v>1</v>
      </c>
      <c r="I486">
        <v>0</v>
      </c>
      <c r="J486">
        <v>1</v>
      </c>
      <c r="K486">
        <v>0.5</v>
      </c>
    </row>
    <row r="487" spans="1:11" x14ac:dyDescent="0.2">
      <c r="A487" t="s">
        <v>126</v>
      </c>
      <c r="B487">
        <v>77</v>
      </c>
      <c r="C487" t="s">
        <v>4</v>
      </c>
      <c r="D487" t="s">
        <v>6</v>
      </c>
      <c r="E487" t="s">
        <v>45</v>
      </c>
      <c r="F487">
        <v>0</v>
      </c>
      <c r="G487">
        <v>0</v>
      </c>
      <c r="H487">
        <v>1</v>
      </c>
      <c r="I487">
        <v>0</v>
      </c>
      <c r="J487">
        <v>1</v>
      </c>
      <c r="K487">
        <v>0.6</v>
      </c>
    </row>
    <row r="488" spans="1:11" x14ac:dyDescent="0.2">
      <c r="A488" t="s">
        <v>126</v>
      </c>
      <c r="B488">
        <v>77</v>
      </c>
      <c r="C488" t="s">
        <v>1</v>
      </c>
      <c r="D488" t="s">
        <v>33</v>
      </c>
      <c r="E488" t="s">
        <v>45</v>
      </c>
      <c r="F488">
        <v>0</v>
      </c>
      <c r="G488">
        <v>0</v>
      </c>
      <c r="H488">
        <v>1</v>
      </c>
      <c r="I488">
        <v>0</v>
      </c>
      <c r="J488">
        <v>1</v>
      </c>
      <c r="K488">
        <v>0.6</v>
      </c>
    </row>
    <row r="489" spans="1:11" x14ac:dyDescent="0.2">
      <c r="A489" t="s">
        <v>126</v>
      </c>
      <c r="B489">
        <v>77</v>
      </c>
      <c r="C489" t="s">
        <v>23</v>
      </c>
      <c r="D489" t="s">
        <v>2</v>
      </c>
      <c r="E489" t="s">
        <v>35</v>
      </c>
      <c r="F489">
        <v>0</v>
      </c>
      <c r="G489">
        <v>0</v>
      </c>
      <c r="H489">
        <v>1</v>
      </c>
      <c r="I489">
        <v>0</v>
      </c>
      <c r="J489">
        <v>1</v>
      </c>
      <c r="K489">
        <v>0.5</v>
      </c>
    </row>
    <row r="490" spans="1:11" x14ac:dyDescent="0.2">
      <c r="A490" t="s">
        <v>126</v>
      </c>
      <c r="B490">
        <v>77</v>
      </c>
      <c r="C490" t="s">
        <v>27</v>
      </c>
      <c r="D490" t="s">
        <v>2</v>
      </c>
      <c r="E490" t="s">
        <v>49</v>
      </c>
      <c r="F490">
        <v>0</v>
      </c>
      <c r="G490">
        <v>1</v>
      </c>
      <c r="H490">
        <v>0</v>
      </c>
      <c r="I490">
        <v>0</v>
      </c>
      <c r="J490">
        <v>1</v>
      </c>
      <c r="K490">
        <v>0.75</v>
      </c>
    </row>
    <row r="491" spans="1:11" x14ac:dyDescent="0.2">
      <c r="A491" t="s">
        <v>126</v>
      </c>
      <c r="B491">
        <v>77</v>
      </c>
      <c r="C491" t="s">
        <v>27</v>
      </c>
      <c r="D491" t="s">
        <v>6</v>
      </c>
      <c r="E491" t="s">
        <v>50</v>
      </c>
      <c r="F491">
        <v>0</v>
      </c>
      <c r="G491">
        <v>0</v>
      </c>
      <c r="H491">
        <v>1</v>
      </c>
      <c r="I491">
        <v>0</v>
      </c>
      <c r="J491">
        <v>1</v>
      </c>
      <c r="K491">
        <v>0.5</v>
      </c>
    </row>
    <row r="492" spans="1:11" x14ac:dyDescent="0.2">
      <c r="A492" t="s">
        <v>126</v>
      </c>
      <c r="B492">
        <v>77</v>
      </c>
      <c r="C492" t="s">
        <v>27</v>
      </c>
      <c r="D492" t="s">
        <v>33</v>
      </c>
      <c r="E492" t="s">
        <v>50</v>
      </c>
      <c r="F492">
        <v>0</v>
      </c>
      <c r="G492">
        <v>0</v>
      </c>
      <c r="H492">
        <v>1</v>
      </c>
      <c r="I492">
        <v>0</v>
      </c>
      <c r="J492">
        <v>1</v>
      </c>
      <c r="K492">
        <v>0.5</v>
      </c>
    </row>
    <row r="493" spans="1:11" x14ac:dyDescent="0.2">
      <c r="A493" t="s">
        <v>126</v>
      </c>
      <c r="B493">
        <v>79</v>
      </c>
      <c r="C493" t="s">
        <v>11</v>
      </c>
      <c r="D493" t="s">
        <v>2</v>
      </c>
      <c r="E493" t="s">
        <v>107</v>
      </c>
      <c r="F493">
        <v>0</v>
      </c>
      <c r="G493">
        <v>0</v>
      </c>
      <c r="H493">
        <v>1</v>
      </c>
      <c r="I493">
        <v>0</v>
      </c>
      <c r="J493">
        <v>1</v>
      </c>
      <c r="K493">
        <v>0.5</v>
      </c>
    </row>
    <row r="494" spans="1:11" x14ac:dyDescent="0.2">
      <c r="A494" t="s">
        <v>126</v>
      </c>
      <c r="B494">
        <v>79</v>
      </c>
      <c r="C494" t="s">
        <v>11</v>
      </c>
      <c r="D494" t="s">
        <v>6</v>
      </c>
      <c r="E494" t="s">
        <v>107</v>
      </c>
      <c r="F494">
        <v>0</v>
      </c>
      <c r="G494">
        <v>0</v>
      </c>
      <c r="H494">
        <v>1</v>
      </c>
      <c r="I494">
        <v>0</v>
      </c>
      <c r="J494">
        <v>1</v>
      </c>
      <c r="K494">
        <v>0.5</v>
      </c>
    </row>
    <row r="495" spans="1:11" x14ac:dyDescent="0.2">
      <c r="A495" t="s">
        <v>126</v>
      </c>
      <c r="B495">
        <v>79</v>
      </c>
      <c r="C495" t="s">
        <v>11</v>
      </c>
      <c r="D495" t="s">
        <v>2</v>
      </c>
      <c r="E495" t="s">
        <v>66</v>
      </c>
      <c r="F495">
        <v>0</v>
      </c>
      <c r="G495">
        <v>0</v>
      </c>
      <c r="H495">
        <v>0</v>
      </c>
      <c r="I495">
        <v>1</v>
      </c>
      <c r="J495">
        <v>1</v>
      </c>
      <c r="K495">
        <v>0.1</v>
      </c>
    </row>
    <row r="496" spans="1:11" x14ac:dyDescent="0.2">
      <c r="A496" t="s">
        <v>126</v>
      </c>
      <c r="B496">
        <v>79</v>
      </c>
      <c r="C496" t="s">
        <v>15</v>
      </c>
      <c r="D496" t="s">
        <v>2</v>
      </c>
      <c r="E496" t="s">
        <v>66</v>
      </c>
      <c r="F496">
        <v>0</v>
      </c>
      <c r="G496">
        <v>0</v>
      </c>
      <c r="H496">
        <v>0</v>
      </c>
      <c r="I496">
        <v>1</v>
      </c>
      <c r="J496">
        <v>1</v>
      </c>
      <c r="K496">
        <v>0.1</v>
      </c>
    </row>
    <row r="497" spans="1:11" x14ac:dyDescent="0.2">
      <c r="A497" t="s">
        <v>126</v>
      </c>
      <c r="B497">
        <v>79</v>
      </c>
      <c r="C497" t="s">
        <v>18</v>
      </c>
      <c r="D497" t="s">
        <v>2</v>
      </c>
      <c r="E497" t="s">
        <v>21</v>
      </c>
      <c r="F497">
        <v>1</v>
      </c>
      <c r="G497">
        <v>0</v>
      </c>
      <c r="H497">
        <v>0</v>
      </c>
      <c r="I497">
        <v>0</v>
      </c>
      <c r="J497">
        <v>1</v>
      </c>
      <c r="K497">
        <v>1</v>
      </c>
    </row>
    <row r="498" spans="1:11" x14ac:dyDescent="0.2">
      <c r="A498" t="s">
        <v>126</v>
      </c>
      <c r="B498">
        <v>79</v>
      </c>
      <c r="C498" t="s">
        <v>23</v>
      </c>
      <c r="D498" t="s">
        <v>2</v>
      </c>
      <c r="E498" t="s">
        <v>58</v>
      </c>
      <c r="F498">
        <v>0</v>
      </c>
      <c r="G498">
        <v>1</v>
      </c>
      <c r="H498">
        <v>0</v>
      </c>
      <c r="I498">
        <v>0</v>
      </c>
      <c r="J498">
        <v>1</v>
      </c>
      <c r="K498">
        <v>0.75</v>
      </c>
    </row>
    <row r="499" spans="1:11" x14ac:dyDescent="0.2">
      <c r="A499" t="s">
        <v>126</v>
      </c>
      <c r="B499">
        <v>80</v>
      </c>
      <c r="C499" t="s">
        <v>4</v>
      </c>
      <c r="D499" t="s">
        <v>2</v>
      </c>
      <c r="E499" t="s">
        <v>7</v>
      </c>
      <c r="F499">
        <v>0</v>
      </c>
      <c r="G499">
        <v>1</v>
      </c>
      <c r="H499">
        <v>0</v>
      </c>
      <c r="I499">
        <v>0</v>
      </c>
      <c r="J499">
        <v>1</v>
      </c>
      <c r="K499">
        <v>0.75</v>
      </c>
    </row>
    <row r="500" spans="1:11" x14ac:dyDescent="0.2">
      <c r="A500" t="s">
        <v>126</v>
      </c>
      <c r="B500">
        <v>80</v>
      </c>
      <c r="C500" t="s">
        <v>11</v>
      </c>
      <c r="D500" t="s">
        <v>2</v>
      </c>
      <c r="E500" t="s">
        <v>88</v>
      </c>
      <c r="F500">
        <v>0</v>
      </c>
      <c r="G500">
        <v>0</v>
      </c>
      <c r="H500">
        <v>4</v>
      </c>
      <c r="I500">
        <v>0</v>
      </c>
      <c r="J500">
        <v>4</v>
      </c>
      <c r="K500">
        <v>2</v>
      </c>
    </row>
    <row r="501" spans="1:11" x14ac:dyDescent="0.2">
      <c r="A501" t="s">
        <v>126</v>
      </c>
      <c r="B501">
        <v>81</v>
      </c>
      <c r="C501" t="s">
        <v>4</v>
      </c>
      <c r="D501" t="s">
        <v>6</v>
      </c>
      <c r="E501" t="s">
        <v>45</v>
      </c>
      <c r="F501">
        <v>0</v>
      </c>
      <c r="G501">
        <v>0</v>
      </c>
      <c r="H501">
        <v>1</v>
      </c>
      <c r="I501">
        <v>0</v>
      </c>
      <c r="J501">
        <v>1</v>
      </c>
      <c r="K501">
        <v>0.5</v>
      </c>
    </row>
    <row r="502" spans="1:11" x14ac:dyDescent="0.2">
      <c r="A502" t="s">
        <v>126</v>
      </c>
      <c r="B502">
        <v>81</v>
      </c>
      <c r="C502" t="s">
        <v>4</v>
      </c>
      <c r="D502" t="s">
        <v>2</v>
      </c>
      <c r="E502" t="s">
        <v>9</v>
      </c>
      <c r="F502">
        <v>0</v>
      </c>
      <c r="G502">
        <v>0</v>
      </c>
      <c r="H502">
        <v>1</v>
      </c>
      <c r="I502">
        <v>0</v>
      </c>
      <c r="J502">
        <v>1</v>
      </c>
      <c r="K502">
        <v>0.5</v>
      </c>
    </row>
    <row r="503" spans="1:11" x14ac:dyDescent="0.2">
      <c r="A503" t="s">
        <v>126</v>
      </c>
      <c r="B503">
        <v>81</v>
      </c>
      <c r="C503" t="s">
        <v>11</v>
      </c>
      <c r="D503" t="s">
        <v>2</v>
      </c>
      <c r="E503" t="s">
        <v>88</v>
      </c>
      <c r="F503">
        <v>0</v>
      </c>
      <c r="G503">
        <v>0</v>
      </c>
      <c r="H503">
        <v>1</v>
      </c>
      <c r="I503">
        <v>0</v>
      </c>
      <c r="J503">
        <v>1</v>
      </c>
      <c r="K503">
        <v>0.5</v>
      </c>
    </row>
    <row r="504" spans="1:11" x14ac:dyDescent="0.2">
      <c r="A504" t="s">
        <v>126</v>
      </c>
      <c r="B504">
        <v>81</v>
      </c>
      <c r="C504" t="s">
        <v>1</v>
      </c>
      <c r="D504" t="s">
        <v>33</v>
      </c>
      <c r="E504" t="s">
        <v>45</v>
      </c>
      <c r="F504">
        <v>0</v>
      </c>
      <c r="G504">
        <v>0</v>
      </c>
      <c r="H504">
        <v>1</v>
      </c>
      <c r="I504">
        <v>0</v>
      </c>
      <c r="J504">
        <v>1</v>
      </c>
      <c r="K504">
        <v>0.5</v>
      </c>
    </row>
    <row r="505" spans="1:11" x14ac:dyDescent="0.2">
      <c r="A505" t="s">
        <v>126</v>
      </c>
      <c r="B505">
        <v>82</v>
      </c>
      <c r="C505" t="s">
        <v>4</v>
      </c>
      <c r="D505" t="s">
        <v>33</v>
      </c>
      <c r="E505" t="s">
        <v>65</v>
      </c>
      <c r="F505">
        <v>0</v>
      </c>
      <c r="G505">
        <v>0</v>
      </c>
      <c r="H505">
        <v>1</v>
      </c>
      <c r="I505">
        <v>0</v>
      </c>
      <c r="J505">
        <v>1</v>
      </c>
      <c r="K505">
        <v>0.5</v>
      </c>
    </row>
    <row r="506" spans="1:11" x14ac:dyDescent="0.2">
      <c r="A506" t="s">
        <v>126</v>
      </c>
      <c r="B506">
        <v>82</v>
      </c>
      <c r="C506" t="s">
        <v>11</v>
      </c>
      <c r="D506" t="s">
        <v>2</v>
      </c>
      <c r="E506" t="s">
        <v>30</v>
      </c>
      <c r="F506">
        <v>0</v>
      </c>
      <c r="G506">
        <v>0</v>
      </c>
      <c r="H506">
        <v>1</v>
      </c>
      <c r="I506">
        <v>0</v>
      </c>
      <c r="J506">
        <v>1</v>
      </c>
      <c r="K506">
        <v>0.5</v>
      </c>
    </row>
    <row r="507" spans="1:11" x14ac:dyDescent="0.2">
      <c r="A507" t="s">
        <v>126</v>
      </c>
      <c r="B507">
        <v>82</v>
      </c>
      <c r="C507" t="s">
        <v>1</v>
      </c>
      <c r="D507" t="s">
        <v>2</v>
      </c>
      <c r="E507" t="s">
        <v>103</v>
      </c>
      <c r="F507">
        <v>0</v>
      </c>
      <c r="G507">
        <v>0</v>
      </c>
      <c r="H507">
        <v>1</v>
      </c>
      <c r="I507">
        <v>0</v>
      </c>
      <c r="J507">
        <v>1</v>
      </c>
      <c r="K507">
        <v>0.5</v>
      </c>
    </row>
    <row r="508" spans="1:11" x14ac:dyDescent="0.2">
      <c r="A508" t="s">
        <v>126</v>
      </c>
      <c r="B508">
        <v>82</v>
      </c>
      <c r="C508" t="s">
        <v>1</v>
      </c>
      <c r="D508" t="s">
        <v>6</v>
      </c>
      <c r="E508" t="s">
        <v>103</v>
      </c>
      <c r="F508">
        <v>0</v>
      </c>
      <c r="G508">
        <v>0</v>
      </c>
      <c r="H508">
        <v>1</v>
      </c>
      <c r="I508">
        <v>0</v>
      </c>
      <c r="J508">
        <v>1</v>
      </c>
      <c r="K508">
        <v>0.5</v>
      </c>
    </row>
    <row r="509" spans="1:11" x14ac:dyDescent="0.2">
      <c r="A509" t="s">
        <v>126</v>
      </c>
      <c r="B509">
        <v>82</v>
      </c>
      <c r="C509" t="s">
        <v>15</v>
      </c>
      <c r="D509" t="s">
        <v>33</v>
      </c>
      <c r="E509" t="s">
        <v>67</v>
      </c>
      <c r="F509">
        <v>0</v>
      </c>
      <c r="G509">
        <v>0</v>
      </c>
      <c r="H509">
        <v>1</v>
      </c>
      <c r="I509">
        <v>0</v>
      </c>
      <c r="J509">
        <v>1</v>
      </c>
      <c r="K509">
        <v>0.5</v>
      </c>
    </row>
    <row r="510" spans="1:11" x14ac:dyDescent="0.2">
      <c r="A510" t="s">
        <v>126</v>
      </c>
      <c r="B510">
        <v>82</v>
      </c>
      <c r="C510" t="s">
        <v>23</v>
      </c>
      <c r="D510" t="s">
        <v>33</v>
      </c>
      <c r="E510" t="s">
        <v>40</v>
      </c>
      <c r="F510">
        <v>0</v>
      </c>
      <c r="G510">
        <v>1</v>
      </c>
      <c r="H510">
        <v>0</v>
      </c>
      <c r="I510">
        <v>0</v>
      </c>
      <c r="J510">
        <v>1</v>
      </c>
      <c r="K510">
        <v>0.75</v>
      </c>
    </row>
    <row r="511" spans="1:11" x14ac:dyDescent="0.2">
      <c r="A511" t="s">
        <v>126</v>
      </c>
      <c r="B511">
        <v>82</v>
      </c>
      <c r="C511" t="s">
        <v>27</v>
      </c>
      <c r="D511" t="s">
        <v>2</v>
      </c>
      <c r="E511" t="s">
        <v>103</v>
      </c>
      <c r="F511">
        <v>0</v>
      </c>
      <c r="G511">
        <v>0</v>
      </c>
      <c r="H511">
        <v>1</v>
      </c>
      <c r="I511">
        <v>0</v>
      </c>
      <c r="J511">
        <v>1</v>
      </c>
      <c r="K511">
        <v>0.5</v>
      </c>
    </row>
    <row r="512" spans="1:11" x14ac:dyDescent="0.2">
      <c r="A512" t="s">
        <v>126</v>
      </c>
      <c r="B512">
        <v>82</v>
      </c>
      <c r="C512" t="s">
        <v>27</v>
      </c>
      <c r="D512" t="s">
        <v>6</v>
      </c>
      <c r="E512" t="s">
        <v>103</v>
      </c>
      <c r="F512">
        <v>0</v>
      </c>
      <c r="G512">
        <v>0</v>
      </c>
      <c r="H512">
        <v>1</v>
      </c>
      <c r="I512">
        <v>0</v>
      </c>
      <c r="J512">
        <v>1</v>
      </c>
      <c r="K512">
        <v>0.5</v>
      </c>
    </row>
    <row r="513" spans="1:11" x14ac:dyDescent="0.2">
      <c r="A513" t="s">
        <v>126</v>
      </c>
      <c r="B513">
        <v>83</v>
      </c>
      <c r="C513" t="s">
        <v>4</v>
      </c>
      <c r="D513" t="s">
        <v>2</v>
      </c>
      <c r="E513" t="s">
        <v>32</v>
      </c>
      <c r="F513">
        <v>1</v>
      </c>
      <c r="G513">
        <v>0</v>
      </c>
      <c r="H513">
        <v>0</v>
      </c>
      <c r="I513">
        <v>1</v>
      </c>
      <c r="J513">
        <v>2</v>
      </c>
      <c r="K513">
        <v>1.1000000000000001</v>
      </c>
    </row>
    <row r="514" spans="1:11" x14ac:dyDescent="0.2">
      <c r="A514" t="s">
        <v>126</v>
      </c>
      <c r="B514">
        <v>83</v>
      </c>
      <c r="C514" t="s">
        <v>11</v>
      </c>
      <c r="D514" t="s">
        <v>2</v>
      </c>
      <c r="E514" t="s">
        <v>76</v>
      </c>
      <c r="F514">
        <v>0</v>
      </c>
      <c r="G514">
        <v>0</v>
      </c>
      <c r="H514">
        <v>1</v>
      </c>
      <c r="I514">
        <v>0</v>
      </c>
      <c r="J514">
        <v>1</v>
      </c>
      <c r="K514">
        <v>0.5</v>
      </c>
    </row>
    <row r="515" spans="1:11" x14ac:dyDescent="0.2">
      <c r="A515" t="s">
        <v>126</v>
      </c>
      <c r="B515">
        <v>83</v>
      </c>
      <c r="C515" t="s">
        <v>18</v>
      </c>
      <c r="D515" t="s">
        <v>2</v>
      </c>
      <c r="E515" t="s">
        <v>54</v>
      </c>
      <c r="F515">
        <v>0</v>
      </c>
      <c r="G515">
        <v>0</v>
      </c>
      <c r="H515">
        <v>0</v>
      </c>
      <c r="I515">
        <v>1</v>
      </c>
      <c r="J515">
        <v>1</v>
      </c>
      <c r="K515">
        <v>0.1</v>
      </c>
    </row>
    <row r="516" spans="1:11" x14ac:dyDescent="0.2">
      <c r="A516" t="s">
        <v>126</v>
      </c>
      <c r="B516">
        <v>83</v>
      </c>
      <c r="C516" t="s">
        <v>23</v>
      </c>
      <c r="D516" t="s">
        <v>33</v>
      </c>
      <c r="E516" t="s">
        <v>34</v>
      </c>
      <c r="F516">
        <v>0</v>
      </c>
      <c r="G516">
        <v>1</v>
      </c>
      <c r="H516">
        <v>1</v>
      </c>
      <c r="I516">
        <v>0</v>
      </c>
      <c r="J516">
        <v>2</v>
      </c>
      <c r="K516">
        <v>1.35</v>
      </c>
    </row>
    <row r="517" spans="1:11" x14ac:dyDescent="0.2">
      <c r="A517" t="s">
        <v>126</v>
      </c>
      <c r="B517">
        <v>83</v>
      </c>
      <c r="C517" t="s">
        <v>23</v>
      </c>
      <c r="D517" t="s">
        <v>2</v>
      </c>
      <c r="E517" t="s">
        <v>35</v>
      </c>
      <c r="F517">
        <v>0</v>
      </c>
      <c r="G517">
        <v>1</v>
      </c>
      <c r="H517">
        <v>0</v>
      </c>
      <c r="I517">
        <v>0</v>
      </c>
      <c r="J517">
        <v>1</v>
      </c>
      <c r="K517">
        <v>0.75</v>
      </c>
    </row>
    <row r="518" spans="1:11" x14ac:dyDescent="0.2">
      <c r="A518" t="s">
        <v>126</v>
      </c>
      <c r="B518">
        <v>83</v>
      </c>
      <c r="C518" t="s">
        <v>27</v>
      </c>
      <c r="D518" t="s">
        <v>2</v>
      </c>
      <c r="E518" t="s">
        <v>73</v>
      </c>
      <c r="F518">
        <v>0</v>
      </c>
      <c r="G518">
        <v>0</v>
      </c>
      <c r="H518">
        <v>0</v>
      </c>
      <c r="I518">
        <v>2</v>
      </c>
      <c r="J518">
        <v>2</v>
      </c>
      <c r="K518">
        <v>0.2</v>
      </c>
    </row>
    <row r="519" spans="1:11" x14ac:dyDescent="0.2">
      <c r="A519" t="s">
        <v>126</v>
      </c>
      <c r="B519">
        <v>84</v>
      </c>
      <c r="C519" t="s">
        <v>11</v>
      </c>
      <c r="D519" t="s">
        <v>2</v>
      </c>
      <c r="E519" t="s">
        <v>52</v>
      </c>
      <c r="F519">
        <v>0</v>
      </c>
      <c r="G519">
        <v>2</v>
      </c>
      <c r="H519">
        <v>0</v>
      </c>
      <c r="I519">
        <v>0</v>
      </c>
      <c r="J519">
        <v>2</v>
      </c>
      <c r="K519">
        <v>1.5</v>
      </c>
    </row>
    <row r="520" spans="1:11" x14ac:dyDescent="0.2">
      <c r="A520" t="s">
        <v>126</v>
      </c>
      <c r="B520">
        <v>85</v>
      </c>
      <c r="C520" t="s">
        <v>4</v>
      </c>
      <c r="D520" t="s">
        <v>2</v>
      </c>
      <c r="E520" t="s">
        <v>5</v>
      </c>
      <c r="F520">
        <v>0</v>
      </c>
      <c r="G520">
        <v>0</v>
      </c>
      <c r="H520">
        <v>0</v>
      </c>
      <c r="I520">
        <v>1</v>
      </c>
      <c r="J520">
        <v>1</v>
      </c>
      <c r="K520">
        <v>0.1</v>
      </c>
    </row>
    <row r="521" spans="1:11" x14ac:dyDescent="0.2">
      <c r="A521" t="s">
        <v>126</v>
      </c>
      <c r="B521">
        <v>85</v>
      </c>
      <c r="C521" t="s">
        <v>4</v>
      </c>
      <c r="D521" t="s">
        <v>6</v>
      </c>
      <c r="E521" t="s">
        <v>5</v>
      </c>
      <c r="F521">
        <v>0</v>
      </c>
      <c r="G521">
        <v>0</v>
      </c>
      <c r="H521">
        <v>0</v>
      </c>
      <c r="I521">
        <v>1</v>
      </c>
      <c r="J521">
        <v>1</v>
      </c>
      <c r="K521">
        <v>0.1</v>
      </c>
    </row>
    <row r="522" spans="1:11" x14ac:dyDescent="0.2">
      <c r="A522" t="s">
        <v>126</v>
      </c>
      <c r="B522">
        <v>85</v>
      </c>
      <c r="C522" t="s">
        <v>4</v>
      </c>
      <c r="D522" t="s">
        <v>33</v>
      </c>
      <c r="E522" t="s">
        <v>36</v>
      </c>
      <c r="F522">
        <v>0</v>
      </c>
      <c r="G522">
        <v>1</v>
      </c>
      <c r="H522">
        <v>0</v>
      </c>
      <c r="I522">
        <v>0</v>
      </c>
      <c r="J522">
        <v>1</v>
      </c>
      <c r="K522">
        <v>0.75</v>
      </c>
    </row>
    <row r="523" spans="1:11" x14ac:dyDescent="0.2">
      <c r="A523" t="s">
        <v>126</v>
      </c>
      <c r="B523">
        <v>85</v>
      </c>
      <c r="C523" t="s">
        <v>4</v>
      </c>
      <c r="D523" t="s">
        <v>6</v>
      </c>
      <c r="E523" t="s">
        <v>45</v>
      </c>
      <c r="F523">
        <v>0</v>
      </c>
      <c r="G523">
        <v>1</v>
      </c>
      <c r="H523">
        <v>0</v>
      </c>
      <c r="I523">
        <v>1</v>
      </c>
      <c r="J523">
        <v>2</v>
      </c>
      <c r="K523">
        <v>0.85</v>
      </c>
    </row>
    <row r="524" spans="1:11" x14ac:dyDescent="0.2">
      <c r="A524" t="s">
        <v>126</v>
      </c>
      <c r="B524">
        <v>85</v>
      </c>
      <c r="C524" t="s">
        <v>4</v>
      </c>
      <c r="D524" t="s">
        <v>6</v>
      </c>
      <c r="E524" t="s">
        <v>10</v>
      </c>
      <c r="F524">
        <v>0</v>
      </c>
      <c r="G524">
        <v>0</v>
      </c>
      <c r="H524">
        <v>4</v>
      </c>
      <c r="I524">
        <v>0</v>
      </c>
      <c r="J524">
        <v>4</v>
      </c>
      <c r="K524">
        <v>2</v>
      </c>
    </row>
    <row r="525" spans="1:11" x14ac:dyDescent="0.2">
      <c r="A525" t="s">
        <v>126</v>
      </c>
      <c r="B525">
        <v>85</v>
      </c>
      <c r="C525" t="s">
        <v>1</v>
      </c>
      <c r="D525" t="s">
        <v>33</v>
      </c>
      <c r="E525" t="s">
        <v>45</v>
      </c>
      <c r="F525">
        <v>0</v>
      </c>
      <c r="G525">
        <v>1</v>
      </c>
      <c r="H525">
        <v>0</v>
      </c>
      <c r="I525">
        <v>1</v>
      </c>
      <c r="J525">
        <v>2</v>
      </c>
      <c r="K525">
        <v>0.85</v>
      </c>
    </row>
    <row r="526" spans="1:11" x14ac:dyDescent="0.2">
      <c r="A526" t="s">
        <v>126</v>
      </c>
      <c r="B526">
        <v>85</v>
      </c>
      <c r="C526" t="s">
        <v>15</v>
      </c>
      <c r="D526" t="s">
        <v>2</v>
      </c>
      <c r="E526" t="s">
        <v>38</v>
      </c>
      <c r="F526">
        <v>0</v>
      </c>
      <c r="G526">
        <v>0</v>
      </c>
      <c r="H526">
        <v>1</v>
      </c>
      <c r="I526">
        <v>0</v>
      </c>
      <c r="J526">
        <v>1</v>
      </c>
      <c r="K526">
        <v>0.5</v>
      </c>
    </row>
    <row r="527" spans="1:11" x14ac:dyDescent="0.2">
      <c r="A527" t="s">
        <v>126</v>
      </c>
      <c r="B527">
        <v>85</v>
      </c>
      <c r="C527" t="s">
        <v>15</v>
      </c>
      <c r="D527" t="s">
        <v>2</v>
      </c>
      <c r="E527" t="s">
        <v>46</v>
      </c>
      <c r="F527">
        <v>1</v>
      </c>
      <c r="G527">
        <v>0</v>
      </c>
      <c r="H527">
        <v>0</v>
      </c>
      <c r="I527">
        <v>0</v>
      </c>
      <c r="J527">
        <v>1</v>
      </c>
      <c r="K527">
        <v>1</v>
      </c>
    </row>
    <row r="528" spans="1:11" x14ac:dyDescent="0.2">
      <c r="A528" t="s">
        <v>126</v>
      </c>
      <c r="B528">
        <v>85</v>
      </c>
      <c r="C528" t="s">
        <v>23</v>
      </c>
      <c r="D528" t="s">
        <v>2</v>
      </c>
      <c r="E528" t="s">
        <v>10</v>
      </c>
      <c r="F528">
        <v>0</v>
      </c>
      <c r="G528">
        <v>0</v>
      </c>
      <c r="H528">
        <v>4</v>
      </c>
      <c r="I528">
        <v>0</v>
      </c>
      <c r="J528">
        <v>4</v>
      </c>
      <c r="K528">
        <v>2</v>
      </c>
    </row>
    <row r="529" spans="1:11" x14ac:dyDescent="0.2">
      <c r="A529" t="s">
        <v>126</v>
      </c>
      <c r="B529">
        <v>85</v>
      </c>
      <c r="C529" t="s">
        <v>23</v>
      </c>
      <c r="D529" t="s">
        <v>6</v>
      </c>
      <c r="E529" t="s">
        <v>25</v>
      </c>
      <c r="F529">
        <v>0</v>
      </c>
      <c r="G529">
        <v>0</v>
      </c>
      <c r="H529">
        <v>4</v>
      </c>
      <c r="I529">
        <v>0</v>
      </c>
      <c r="J529">
        <v>4</v>
      </c>
      <c r="K529">
        <v>2</v>
      </c>
    </row>
    <row r="530" spans="1:11" x14ac:dyDescent="0.2">
      <c r="A530" t="s">
        <v>126</v>
      </c>
      <c r="B530">
        <v>85</v>
      </c>
      <c r="C530" t="s">
        <v>27</v>
      </c>
      <c r="D530" t="s">
        <v>2</v>
      </c>
      <c r="E530" t="s">
        <v>5</v>
      </c>
      <c r="F530">
        <v>0</v>
      </c>
      <c r="G530">
        <v>0</v>
      </c>
      <c r="H530">
        <v>0</v>
      </c>
      <c r="I530">
        <v>1</v>
      </c>
      <c r="J530">
        <v>1</v>
      </c>
      <c r="K530">
        <v>0.1</v>
      </c>
    </row>
    <row r="531" spans="1:11" x14ac:dyDescent="0.2">
      <c r="A531" t="s">
        <v>126</v>
      </c>
      <c r="B531">
        <v>85</v>
      </c>
      <c r="C531" t="s">
        <v>27</v>
      </c>
      <c r="D531" t="s">
        <v>6</v>
      </c>
      <c r="E531" t="s">
        <v>28</v>
      </c>
      <c r="F531">
        <v>0</v>
      </c>
      <c r="G531">
        <v>2</v>
      </c>
      <c r="H531">
        <v>0</v>
      </c>
      <c r="I531">
        <v>0</v>
      </c>
      <c r="J531">
        <v>2</v>
      </c>
      <c r="K531">
        <v>1.5</v>
      </c>
    </row>
    <row r="532" spans="1:11" x14ac:dyDescent="0.2">
      <c r="A532" t="s">
        <v>126</v>
      </c>
      <c r="B532">
        <v>86</v>
      </c>
      <c r="C532" t="s">
        <v>4</v>
      </c>
      <c r="D532" t="s">
        <v>33</v>
      </c>
      <c r="E532" t="s">
        <v>36</v>
      </c>
      <c r="F532">
        <v>0</v>
      </c>
      <c r="G532">
        <v>1</v>
      </c>
      <c r="H532">
        <v>0</v>
      </c>
      <c r="I532">
        <v>0</v>
      </c>
      <c r="J532">
        <v>1</v>
      </c>
      <c r="K532">
        <v>0.75</v>
      </c>
    </row>
    <row r="533" spans="1:11" x14ac:dyDescent="0.2">
      <c r="A533" t="s">
        <v>126</v>
      </c>
      <c r="B533">
        <v>86</v>
      </c>
      <c r="C533" t="s">
        <v>4</v>
      </c>
      <c r="D533" t="s">
        <v>6</v>
      </c>
      <c r="E533" t="s">
        <v>10</v>
      </c>
      <c r="F533">
        <v>0</v>
      </c>
      <c r="G533">
        <v>0</v>
      </c>
      <c r="H533">
        <v>3</v>
      </c>
      <c r="I533">
        <v>0</v>
      </c>
      <c r="J533">
        <v>3</v>
      </c>
      <c r="K533">
        <v>1.5</v>
      </c>
    </row>
    <row r="534" spans="1:11" x14ac:dyDescent="0.2">
      <c r="A534" t="s">
        <v>126</v>
      </c>
      <c r="B534">
        <v>86</v>
      </c>
      <c r="C534" t="s">
        <v>4</v>
      </c>
      <c r="D534" t="s">
        <v>2</v>
      </c>
      <c r="E534" t="s">
        <v>32</v>
      </c>
      <c r="F534">
        <v>1</v>
      </c>
      <c r="G534">
        <v>0</v>
      </c>
      <c r="H534">
        <v>0</v>
      </c>
      <c r="I534">
        <v>1</v>
      </c>
      <c r="J534">
        <v>2</v>
      </c>
      <c r="K534">
        <v>1.1000000000000001</v>
      </c>
    </row>
    <row r="535" spans="1:11" x14ac:dyDescent="0.2">
      <c r="A535" t="s">
        <v>126</v>
      </c>
      <c r="B535">
        <v>86</v>
      </c>
      <c r="C535" t="s">
        <v>1</v>
      </c>
      <c r="D535" t="s">
        <v>2</v>
      </c>
      <c r="E535" t="s">
        <v>103</v>
      </c>
      <c r="F535">
        <v>0</v>
      </c>
      <c r="G535">
        <v>1</v>
      </c>
      <c r="H535">
        <v>1</v>
      </c>
      <c r="I535">
        <v>0</v>
      </c>
      <c r="J535">
        <v>2</v>
      </c>
      <c r="K535">
        <v>1.25</v>
      </c>
    </row>
    <row r="536" spans="1:11" x14ac:dyDescent="0.2">
      <c r="A536" t="s">
        <v>126</v>
      </c>
      <c r="B536">
        <v>86</v>
      </c>
      <c r="C536" t="s">
        <v>1</v>
      </c>
      <c r="D536" t="s">
        <v>6</v>
      </c>
      <c r="E536" t="s">
        <v>103</v>
      </c>
      <c r="F536">
        <v>0</v>
      </c>
      <c r="G536">
        <v>1</v>
      </c>
      <c r="H536">
        <v>1</v>
      </c>
      <c r="I536">
        <v>0</v>
      </c>
      <c r="J536">
        <v>2</v>
      </c>
      <c r="K536">
        <v>1.25</v>
      </c>
    </row>
    <row r="537" spans="1:11" x14ac:dyDescent="0.2">
      <c r="A537" t="s">
        <v>126</v>
      </c>
      <c r="B537">
        <v>86</v>
      </c>
      <c r="C537" t="s">
        <v>1</v>
      </c>
      <c r="D537" t="s">
        <v>2</v>
      </c>
      <c r="E537" t="s">
        <v>3</v>
      </c>
      <c r="F537">
        <v>0</v>
      </c>
      <c r="G537">
        <v>0</v>
      </c>
      <c r="H537">
        <v>1</v>
      </c>
      <c r="I537">
        <v>0</v>
      </c>
      <c r="J537">
        <v>1</v>
      </c>
      <c r="K537">
        <v>0.5</v>
      </c>
    </row>
    <row r="538" spans="1:11" x14ac:dyDescent="0.2">
      <c r="A538" t="s">
        <v>126</v>
      </c>
      <c r="B538">
        <v>86</v>
      </c>
      <c r="C538" t="s">
        <v>18</v>
      </c>
      <c r="D538" t="s">
        <v>2</v>
      </c>
      <c r="E538" t="s">
        <v>79</v>
      </c>
      <c r="F538">
        <v>0</v>
      </c>
      <c r="G538">
        <v>0</v>
      </c>
      <c r="H538">
        <v>1</v>
      </c>
      <c r="I538">
        <v>0</v>
      </c>
      <c r="J538">
        <v>1</v>
      </c>
      <c r="K538">
        <v>0.5</v>
      </c>
    </row>
    <row r="539" spans="1:11" x14ac:dyDescent="0.2">
      <c r="A539" t="s">
        <v>126</v>
      </c>
      <c r="B539">
        <v>86</v>
      </c>
      <c r="C539" t="s">
        <v>18</v>
      </c>
      <c r="D539" t="s">
        <v>6</v>
      </c>
      <c r="E539" t="s">
        <v>79</v>
      </c>
      <c r="F539">
        <v>0</v>
      </c>
      <c r="G539">
        <v>0</v>
      </c>
      <c r="H539">
        <v>1</v>
      </c>
      <c r="I539">
        <v>0</v>
      </c>
      <c r="J539">
        <v>1</v>
      </c>
      <c r="K539">
        <v>0.5</v>
      </c>
    </row>
    <row r="540" spans="1:11" x14ac:dyDescent="0.2">
      <c r="A540" t="s">
        <v>126</v>
      </c>
      <c r="B540">
        <v>86</v>
      </c>
      <c r="C540" t="s">
        <v>23</v>
      </c>
      <c r="D540" t="s">
        <v>33</v>
      </c>
      <c r="E540" t="s">
        <v>34</v>
      </c>
      <c r="F540">
        <v>0</v>
      </c>
      <c r="G540">
        <v>1</v>
      </c>
      <c r="H540">
        <v>1</v>
      </c>
      <c r="I540">
        <v>0</v>
      </c>
      <c r="J540">
        <v>2</v>
      </c>
      <c r="K540">
        <v>1.35</v>
      </c>
    </row>
    <row r="541" spans="1:11" x14ac:dyDescent="0.2">
      <c r="A541" t="s">
        <v>126</v>
      </c>
      <c r="B541">
        <v>86</v>
      </c>
      <c r="C541" t="s">
        <v>23</v>
      </c>
      <c r="D541" t="s">
        <v>2</v>
      </c>
      <c r="E541" t="s">
        <v>10</v>
      </c>
      <c r="F541">
        <v>0</v>
      </c>
      <c r="G541">
        <v>0</v>
      </c>
      <c r="H541">
        <v>3</v>
      </c>
      <c r="I541">
        <v>0</v>
      </c>
      <c r="J541">
        <v>3</v>
      </c>
      <c r="K541">
        <v>1.5</v>
      </c>
    </row>
    <row r="542" spans="1:11" x14ac:dyDescent="0.2">
      <c r="A542" t="s">
        <v>126</v>
      </c>
      <c r="B542">
        <v>86</v>
      </c>
      <c r="C542" t="s">
        <v>23</v>
      </c>
      <c r="D542" t="s">
        <v>6</v>
      </c>
      <c r="E542" t="s">
        <v>25</v>
      </c>
      <c r="F542">
        <v>0</v>
      </c>
      <c r="G542">
        <v>0</v>
      </c>
      <c r="H542">
        <v>3</v>
      </c>
      <c r="I542">
        <v>0</v>
      </c>
      <c r="J542">
        <v>3</v>
      </c>
      <c r="K542">
        <v>1.5</v>
      </c>
    </row>
    <row r="543" spans="1:11" x14ac:dyDescent="0.2">
      <c r="A543" t="s">
        <v>126</v>
      </c>
      <c r="B543">
        <v>86</v>
      </c>
      <c r="C543" t="s">
        <v>27</v>
      </c>
      <c r="D543" t="s">
        <v>2</v>
      </c>
      <c r="E543" t="s">
        <v>103</v>
      </c>
      <c r="F543">
        <v>0</v>
      </c>
      <c r="G543">
        <v>1</v>
      </c>
      <c r="H543">
        <v>1</v>
      </c>
      <c r="I543">
        <v>0</v>
      </c>
      <c r="J543">
        <v>2</v>
      </c>
      <c r="K543">
        <v>1.25</v>
      </c>
    </row>
    <row r="544" spans="1:11" x14ac:dyDescent="0.2">
      <c r="A544" t="s">
        <v>126</v>
      </c>
      <c r="B544">
        <v>86</v>
      </c>
      <c r="C544" t="s">
        <v>27</v>
      </c>
      <c r="D544" t="s">
        <v>6</v>
      </c>
      <c r="E544" t="s">
        <v>103</v>
      </c>
      <c r="F544">
        <v>0</v>
      </c>
      <c r="G544">
        <v>1</v>
      </c>
      <c r="H544">
        <v>1</v>
      </c>
      <c r="I544">
        <v>0</v>
      </c>
      <c r="J544">
        <v>2</v>
      </c>
      <c r="K544">
        <v>1.25</v>
      </c>
    </row>
    <row r="545" spans="1:11" x14ac:dyDescent="0.2">
      <c r="A545" t="s">
        <v>126</v>
      </c>
      <c r="B545">
        <v>87</v>
      </c>
      <c r="C545" t="s">
        <v>4</v>
      </c>
      <c r="D545" t="s">
        <v>6</v>
      </c>
      <c r="E545" t="s">
        <v>10</v>
      </c>
      <c r="F545">
        <v>0</v>
      </c>
      <c r="G545">
        <v>0</v>
      </c>
      <c r="H545">
        <v>6</v>
      </c>
      <c r="I545">
        <v>0</v>
      </c>
      <c r="J545">
        <v>6</v>
      </c>
      <c r="K545">
        <v>3</v>
      </c>
    </row>
    <row r="546" spans="1:11" x14ac:dyDescent="0.2">
      <c r="A546" t="s">
        <v>126</v>
      </c>
      <c r="B546">
        <v>87</v>
      </c>
      <c r="C546" t="s">
        <v>4</v>
      </c>
      <c r="D546" t="s">
        <v>2</v>
      </c>
      <c r="E546" t="s">
        <v>32</v>
      </c>
      <c r="F546">
        <v>0</v>
      </c>
      <c r="G546">
        <v>1</v>
      </c>
      <c r="H546">
        <v>0</v>
      </c>
      <c r="I546">
        <v>0</v>
      </c>
      <c r="J546">
        <v>1</v>
      </c>
      <c r="K546">
        <v>0.75</v>
      </c>
    </row>
    <row r="547" spans="1:11" x14ac:dyDescent="0.2">
      <c r="A547" t="s">
        <v>126</v>
      </c>
      <c r="B547">
        <v>87</v>
      </c>
      <c r="C547" t="s">
        <v>23</v>
      </c>
      <c r="D547" t="s">
        <v>33</v>
      </c>
      <c r="E547" t="s">
        <v>34</v>
      </c>
      <c r="F547">
        <v>0</v>
      </c>
      <c r="G547">
        <v>1</v>
      </c>
      <c r="H547">
        <v>0</v>
      </c>
      <c r="I547">
        <v>0</v>
      </c>
      <c r="J547">
        <v>1</v>
      </c>
      <c r="K547">
        <v>0.75</v>
      </c>
    </row>
    <row r="548" spans="1:11" x14ac:dyDescent="0.2">
      <c r="A548" t="s">
        <v>126</v>
      </c>
      <c r="B548">
        <v>87</v>
      </c>
      <c r="C548" t="s">
        <v>23</v>
      </c>
      <c r="D548" t="s">
        <v>2</v>
      </c>
      <c r="E548" t="s">
        <v>10</v>
      </c>
      <c r="F548">
        <v>0</v>
      </c>
      <c r="G548">
        <v>0</v>
      </c>
      <c r="H548">
        <v>6</v>
      </c>
      <c r="I548">
        <v>0</v>
      </c>
      <c r="J548">
        <v>6</v>
      </c>
      <c r="K548">
        <v>3</v>
      </c>
    </row>
    <row r="549" spans="1:11" x14ac:dyDescent="0.2">
      <c r="A549" t="s">
        <v>126</v>
      </c>
      <c r="B549">
        <v>87</v>
      </c>
      <c r="C549" t="s">
        <v>23</v>
      </c>
      <c r="D549" t="s">
        <v>6</v>
      </c>
      <c r="E549" t="s">
        <v>25</v>
      </c>
      <c r="F549">
        <v>0</v>
      </c>
      <c r="G549">
        <v>0</v>
      </c>
      <c r="H549">
        <v>6</v>
      </c>
      <c r="I549">
        <v>0</v>
      </c>
      <c r="J549">
        <v>6</v>
      </c>
      <c r="K549">
        <v>3</v>
      </c>
    </row>
    <row r="550" spans="1:11" x14ac:dyDescent="0.2">
      <c r="A550" t="s">
        <v>126</v>
      </c>
      <c r="B550">
        <v>88</v>
      </c>
      <c r="C550" t="s">
        <v>4</v>
      </c>
      <c r="D550" t="s">
        <v>2</v>
      </c>
      <c r="E550" t="s">
        <v>32</v>
      </c>
      <c r="F550">
        <v>0</v>
      </c>
      <c r="G550">
        <v>1</v>
      </c>
      <c r="H550">
        <v>0</v>
      </c>
      <c r="I550">
        <v>0</v>
      </c>
      <c r="J550">
        <v>1</v>
      </c>
      <c r="K550">
        <v>0.75</v>
      </c>
    </row>
    <row r="551" spans="1:11" x14ac:dyDescent="0.2">
      <c r="A551" t="s">
        <v>126</v>
      </c>
      <c r="B551">
        <v>88</v>
      </c>
      <c r="C551" t="s">
        <v>23</v>
      </c>
      <c r="D551" t="s">
        <v>33</v>
      </c>
      <c r="E551" t="s">
        <v>34</v>
      </c>
      <c r="F551">
        <v>0</v>
      </c>
      <c r="G551">
        <v>1</v>
      </c>
      <c r="H551">
        <v>0</v>
      </c>
      <c r="I551">
        <v>0</v>
      </c>
      <c r="J551">
        <v>1</v>
      </c>
      <c r="K551">
        <v>0.75</v>
      </c>
    </row>
    <row r="552" spans="1:11" x14ac:dyDescent="0.2">
      <c r="A552" t="s">
        <v>126</v>
      </c>
      <c r="B552">
        <v>88</v>
      </c>
      <c r="C552" t="s">
        <v>23</v>
      </c>
      <c r="D552" t="s">
        <v>2</v>
      </c>
      <c r="E552" t="s">
        <v>35</v>
      </c>
      <c r="F552">
        <v>0</v>
      </c>
      <c r="G552">
        <v>0</v>
      </c>
      <c r="H552">
        <v>0</v>
      </c>
      <c r="I552">
        <v>2</v>
      </c>
      <c r="J552">
        <v>2</v>
      </c>
      <c r="K552">
        <v>0.2</v>
      </c>
    </row>
    <row r="553" spans="1:11" x14ac:dyDescent="0.2">
      <c r="A553" t="s">
        <v>126</v>
      </c>
      <c r="B553">
        <v>89</v>
      </c>
      <c r="C553" t="s">
        <v>4</v>
      </c>
      <c r="D553" t="s">
        <v>33</v>
      </c>
      <c r="E553" t="s">
        <v>36</v>
      </c>
      <c r="F553">
        <v>0</v>
      </c>
      <c r="G553">
        <v>1</v>
      </c>
      <c r="H553">
        <v>0</v>
      </c>
      <c r="I553">
        <v>0</v>
      </c>
      <c r="J553">
        <v>1</v>
      </c>
      <c r="K553">
        <v>0.75</v>
      </c>
    </row>
    <row r="554" spans="1:11" x14ac:dyDescent="0.2">
      <c r="A554" t="s">
        <v>126</v>
      </c>
      <c r="B554">
        <v>89</v>
      </c>
      <c r="C554" t="s">
        <v>4</v>
      </c>
      <c r="D554" t="s">
        <v>6</v>
      </c>
      <c r="E554" t="s">
        <v>45</v>
      </c>
      <c r="F554">
        <v>0</v>
      </c>
      <c r="G554">
        <v>1</v>
      </c>
      <c r="H554">
        <v>0</v>
      </c>
      <c r="I554">
        <v>0</v>
      </c>
      <c r="J554">
        <v>1</v>
      </c>
      <c r="K554">
        <v>0.75</v>
      </c>
    </row>
    <row r="555" spans="1:11" x14ac:dyDescent="0.2">
      <c r="A555" t="s">
        <v>126</v>
      </c>
      <c r="B555">
        <v>89</v>
      </c>
      <c r="C555" t="s">
        <v>1</v>
      </c>
      <c r="D555" t="s">
        <v>33</v>
      </c>
      <c r="E555" t="s">
        <v>45</v>
      </c>
      <c r="F555">
        <v>0</v>
      </c>
      <c r="G555">
        <v>1</v>
      </c>
      <c r="H555">
        <v>0</v>
      </c>
      <c r="I555">
        <v>0</v>
      </c>
      <c r="J555">
        <v>1</v>
      </c>
      <c r="K555">
        <v>0.75</v>
      </c>
    </row>
    <row r="556" spans="1:11" x14ac:dyDescent="0.2">
      <c r="A556" t="s">
        <v>126</v>
      </c>
      <c r="B556">
        <v>89</v>
      </c>
      <c r="C556" t="s">
        <v>15</v>
      </c>
      <c r="D556" t="s">
        <v>2</v>
      </c>
      <c r="E556" t="s">
        <v>16</v>
      </c>
      <c r="F556">
        <v>0</v>
      </c>
      <c r="G556">
        <v>1</v>
      </c>
      <c r="H556">
        <v>0</v>
      </c>
      <c r="I556">
        <v>0</v>
      </c>
      <c r="J556">
        <v>1</v>
      </c>
      <c r="K556">
        <v>0.75</v>
      </c>
    </row>
    <row r="557" spans="1:11" x14ac:dyDescent="0.2">
      <c r="A557" t="s">
        <v>126</v>
      </c>
      <c r="B557">
        <v>89</v>
      </c>
      <c r="C557" t="s">
        <v>18</v>
      </c>
      <c r="D557" t="s">
        <v>6</v>
      </c>
      <c r="E557" t="s">
        <v>19</v>
      </c>
      <c r="F557">
        <v>1</v>
      </c>
      <c r="G557">
        <v>0</v>
      </c>
      <c r="H557">
        <v>0</v>
      </c>
      <c r="I557">
        <v>0</v>
      </c>
      <c r="J557">
        <v>1</v>
      </c>
      <c r="K557">
        <v>1</v>
      </c>
    </row>
    <row r="558" spans="1:11" x14ac:dyDescent="0.2">
      <c r="A558" t="s">
        <v>126</v>
      </c>
      <c r="B558">
        <v>89</v>
      </c>
      <c r="C558" t="s">
        <v>23</v>
      </c>
      <c r="D558" t="s">
        <v>6</v>
      </c>
      <c r="E558" t="s">
        <v>24</v>
      </c>
      <c r="F558">
        <v>0</v>
      </c>
      <c r="G558">
        <v>0</v>
      </c>
      <c r="H558">
        <v>0</v>
      </c>
      <c r="I558">
        <v>2</v>
      </c>
      <c r="J558">
        <v>2</v>
      </c>
      <c r="K558">
        <v>0.2</v>
      </c>
    </row>
    <row r="559" spans="1:11" x14ac:dyDescent="0.2">
      <c r="A559" t="s">
        <v>126</v>
      </c>
      <c r="B559">
        <v>89</v>
      </c>
      <c r="C559" t="s">
        <v>23</v>
      </c>
      <c r="D559" t="s">
        <v>2</v>
      </c>
      <c r="E559" t="s">
        <v>35</v>
      </c>
      <c r="F559">
        <v>0</v>
      </c>
      <c r="G559">
        <v>0</v>
      </c>
      <c r="H559">
        <v>1</v>
      </c>
      <c r="I559">
        <v>1</v>
      </c>
      <c r="J559">
        <v>2</v>
      </c>
      <c r="K559">
        <v>0.6</v>
      </c>
    </row>
    <row r="560" spans="1:11" x14ac:dyDescent="0.2">
      <c r="A560" t="s">
        <v>126</v>
      </c>
      <c r="B560">
        <v>90</v>
      </c>
      <c r="C560" t="s">
        <v>4</v>
      </c>
      <c r="D560" t="s">
        <v>6</v>
      </c>
      <c r="E560" t="s">
        <v>45</v>
      </c>
      <c r="F560">
        <v>0</v>
      </c>
      <c r="G560">
        <v>0</v>
      </c>
      <c r="H560">
        <v>1</v>
      </c>
      <c r="I560">
        <v>0</v>
      </c>
      <c r="J560">
        <v>1</v>
      </c>
      <c r="K560">
        <v>0.5</v>
      </c>
    </row>
    <row r="561" spans="1:11" x14ac:dyDescent="0.2">
      <c r="A561" t="s">
        <v>126</v>
      </c>
      <c r="B561">
        <v>90</v>
      </c>
      <c r="C561" t="s">
        <v>1</v>
      </c>
      <c r="D561" t="s">
        <v>33</v>
      </c>
      <c r="E561" t="s">
        <v>45</v>
      </c>
      <c r="F561">
        <v>0</v>
      </c>
      <c r="G561">
        <v>0</v>
      </c>
      <c r="H561">
        <v>1</v>
      </c>
      <c r="I561">
        <v>0</v>
      </c>
      <c r="J561">
        <v>1</v>
      </c>
      <c r="K561">
        <v>0.5</v>
      </c>
    </row>
    <row r="562" spans="1:11" x14ac:dyDescent="0.2">
      <c r="A562" t="s">
        <v>126</v>
      </c>
      <c r="B562">
        <v>90</v>
      </c>
      <c r="C562" t="s">
        <v>23</v>
      </c>
      <c r="D562" t="s">
        <v>2</v>
      </c>
      <c r="E562" t="s">
        <v>61</v>
      </c>
      <c r="F562">
        <v>0</v>
      </c>
      <c r="G562">
        <v>0</v>
      </c>
      <c r="H562">
        <v>2</v>
      </c>
      <c r="I562">
        <v>0</v>
      </c>
      <c r="J562">
        <v>2</v>
      </c>
      <c r="K562">
        <v>1</v>
      </c>
    </row>
    <row r="563" spans="1:11" x14ac:dyDescent="0.2">
      <c r="A563" t="s">
        <v>126</v>
      </c>
      <c r="B563">
        <v>91</v>
      </c>
      <c r="C563" t="s">
        <v>4</v>
      </c>
      <c r="D563" t="s">
        <v>2</v>
      </c>
      <c r="E563" t="s">
        <v>5</v>
      </c>
      <c r="F563">
        <v>0</v>
      </c>
      <c r="G563">
        <v>0</v>
      </c>
      <c r="H563">
        <v>1</v>
      </c>
      <c r="I563">
        <v>0</v>
      </c>
      <c r="J563">
        <v>1</v>
      </c>
      <c r="K563">
        <v>0.5</v>
      </c>
    </row>
    <row r="564" spans="1:11" x14ac:dyDescent="0.2">
      <c r="A564" t="s">
        <v>126</v>
      </c>
      <c r="B564">
        <v>91</v>
      </c>
      <c r="C564" t="s">
        <v>4</v>
      </c>
      <c r="D564" t="s">
        <v>6</v>
      </c>
      <c r="E564" t="s">
        <v>5</v>
      </c>
      <c r="F564">
        <v>0</v>
      </c>
      <c r="G564">
        <v>0</v>
      </c>
      <c r="H564">
        <v>1</v>
      </c>
      <c r="I564">
        <v>0</v>
      </c>
      <c r="J564">
        <v>1</v>
      </c>
      <c r="K564">
        <v>0.5</v>
      </c>
    </row>
    <row r="565" spans="1:11" x14ac:dyDescent="0.2">
      <c r="A565" t="s">
        <v>126</v>
      </c>
      <c r="B565">
        <v>91</v>
      </c>
      <c r="C565" t="s">
        <v>4</v>
      </c>
      <c r="D565" t="s">
        <v>33</v>
      </c>
      <c r="E565" t="s">
        <v>36</v>
      </c>
      <c r="F565">
        <v>0</v>
      </c>
      <c r="G565">
        <v>1</v>
      </c>
      <c r="H565">
        <v>0</v>
      </c>
      <c r="I565">
        <v>0</v>
      </c>
      <c r="J565">
        <v>1</v>
      </c>
      <c r="K565">
        <v>0.75</v>
      </c>
    </row>
    <row r="566" spans="1:11" x14ac:dyDescent="0.2">
      <c r="A566" t="s">
        <v>126</v>
      </c>
      <c r="B566">
        <v>91</v>
      </c>
      <c r="C566" t="s">
        <v>15</v>
      </c>
      <c r="D566" t="s">
        <v>2</v>
      </c>
      <c r="E566" t="s">
        <v>16</v>
      </c>
      <c r="F566">
        <v>0</v>
      </c>
      <c r="G566">
        <v>0</v>
      </c>
      <c r="H566">
        <v>0</v>
      </c>
      <c r="I566">
        <v>2</v>
      </c>
      <c r="J566">
        <v>2</v>
      </c>
      <c r="K566">
        <v>0.2</v>
      </c>
    </row>
    <row r="567" spans="1:11" x14ac:dyDescent="0.2">
      <c r="A567" t="s">
        <v>126</v>
      </c>
      <c r="B567">
        <v>91</v>
      </c>
      <c r="C567" t="s">
        <v>18</v>
      </c>
      <c r="D567" t="s">
        <v>6</v>
      </c>
      <c r="E567" t="s">
        <v>19</v>
      </c>
      <c r="F567">
        <v>0</v>
      </c>
      <c r="G567">
        <v>0</v>
      </c>
      <c r="H567">
        <v>2</v>
      </c>
      <c r="I567">
        <v>0</v>
      </c>
      <c r="J567">
        <v>2</v>
      </c>
      <c r="K567">
        <v>1</v>
      </c>
    </row>
    <row r="568" spans="1:11" x14ac:dyDescent="0.2">
      <c r="A568" t="s">
        <v>126</v>
      </c>
      <c r="B568">
        <v>91</v>
      </c>
      <c r="C568" t="s">
        <v>18</v>
      </c>
      <c r="D568" t="s">
        <v>6</v>
      </c>
      <c r="E568" t="s">
        <v>39</v>
      </c>
      <c r="F568">
        <v>0</v>
      </c>
      <c r="G568">
        <v>0</v>
      </c>
      <c r="H568">
        <v>5</v>
      </c>
      <c r="I568">
        <v>0</v>
      </c>
      <c r="J568">
        <v>5</v>
      </c>
      <c r="K568">
        <v>2.5</v>
      </c>
    </row>
    <row r="569" spans="1:11" x14ac:dyDescent="0.2">
      <c r="A569" t="s">
        <v>126</v>
      </c>
      <c r="B569">
        <v>91</v>
      </c>
      <c r="C569" t="s">
        <v>23</v>
      </c>
      <c r="D569" t="s">
        <v>2</v>
      </c>
      <c r="E569" t="s">
        <v>35</v>
      </c>
      <c r="F569">
        <v>0</v>
      </c>
      <c r="G569">
        <v>0</v>
      </c>
      <c r="H569">
        <v>1</v>
      </c>
      <c r="I569">
        <v>0</v>
      </c>
      <c r="J569">
        <v>1</v>
      </c>
      <c r="K569">
        <v>0.5</v>
      </c>
    </row>
    <row r="570" spans="1:11" x14ac:dyDescent="0.2">
      <c r="A570" t="s">
        <v>126</v>
      </c>
      <c r="B570">
        <v>91</v>
      </c>
      <c r="C570" t="s">
        <v>27</v>
      </c>
      <c r="D570" t="s">
        <v>2</v>
      </c>
      <c r="E570" t="s">
        <v>5</v>
      </c>
      <c r="F570">
        <v>0</v>
      </c>
      <c r="G570">
        <v>0</v>
      </c>
      <c r="H570">
        <v>1</v>
      </c>
      <c r="I570">
        <v>0</v>
      </c>
      <c r="J570">
        <v>1</v>
      </c>
      <c r="K570">
        <v>0.5</v>
      </c>
    </row>
    <row r="571" spans="1:11" x14ac:dyDescent="0.2">
      <c r="A571" t="s">
        <v>126</v>
      </c>
      <c r="B571">
        <v>92</v>
      </c>
      <c r="C571" t="s">
        <v>4</v>
      </c>
      <c r="D571" t="s">
        <v>2</v>
      </c>
      <c r="E571" t="s">
        <v>32</v>
      </c>
      <c r="F571">
        <v>0</v>
      </c>
      <c r="G571">
        <v>0</v>
      </c>
      <c r="H571">
        <v>0</v>
      </c>
      <c r="I571">
        <v>2</v>
      </c>
      <c r="J571">
        <v>2</v>
      </c>
      <c r="K571">
        <v>0.2</v>
      </c>
    </row>
    <row r="572" spans="1:11" x14ac:dyDescent="0.2">
      <c r="A572" t="s">
        <v>126</v>
      </c>
      <c r="B572">
        <v>92</v>
      </c>
      <c r="C572" t="s">
        <v>15</v>
      </c>
      <c r="D572" t="s">
        <v>2</v>
      </c>
      <c r="E572" t="s">
        <v>16</v>
      </c>
      <c r="F572">
        <v>0</v>
      </c>
      <c r="G572">
        <v>0</v>
      </c>
      <c r="H572">
        <v>0</v>
      </c>
      <c r="I572">
        <v>5</v>
      </c>
      <c r="J572">
        <v>5</v>
      </c>
      <c r="K572">
        <v>0.5</v>
      </c>
    </row>
    <row r="573" spans="1:11" x14ac:dyDescent="0.2">
      <c r="A573" t="s">
        <v>126</v>
      </c>
      <c r="B573">
        <v>92</v>
      </c>
      <c r="C573" t="s">
        <v>18</v>
      </c>
      <c r="D573" t="s">
        <v>6</v>
      </c>
      <c r="E573" t="s">
        <v>19</v>
      </c>
      <c r="F573">
        <v>0</v>
      </c>
      <c r="G573">
        <v>0</v>
      </c>
      <c r="H573">
        <v>4</v>
      </c>
      <c r="I573">
        <v>1</v>
      </c>
      <c r="J573">
        <v>5</v>
      </c>
      <c r="K573">
        <v>2.1</v>
      </c>
    </row>
    <row r="574" spans="1:11" x14ac:dyDescent="0.2">
      <c r="A574" t="s">
        <v>126</v>
      </c>
      <c r="B574">
        <v>92</v>
      </c>
      <c r="C574" t="s">
        <v>18</v>
      </c>
      <c r="D574" t="s">
        <v>6</v>
      </c>
      <c r="E574" t="s">
        <v>22</v>
      </c>
      <c r="F574">
        <v>0</v>
      </c>
      <c r="G574">
        <v>0</v>
      </c>
      <c r="H574">
        <v>1</v>
      </c>
      <c r="I574">
        <v>0</v>
      </c>
      <c r="J574">
        <v>1</v>
      </c>
      <c r="K574">
        <v>0.5</v>
      </c>
    </row>
    <row r="575" spans="1:11" x14ac:dyDescent="0.2">
      <c r="A575" t="s">
        <v>126</v>
      </c>
      <c r="B575">
        <v>92</v>
      </c>
      <c r="C575" t="s">
        <v>23</v>
      </c>
      <c r="D575" t="s">
        <v>33</v>
      </c>
      <c r="E575" t="s">
        <v>34</v>
      </c>
      <c r="F575">
        <v>0</v>
      </c>
      <c r="G575">
        <v>0</v>
      </c>
      <c r="H575">
        <v>0</v>
      </c>
      <c r="I575">
        <v>2</v>
      </c>
      <c r="J575">
        <v>2</v>
      </c>
      <c r="K575">
        <v>0.2</v>
      </c>
    </row>
    <row r="576" spans="1:11" x14ac:dyDescent="0.2">
      <c r="A576" t="s">
        <v>126</v>
      </c>
      <c r="B576">
        <v>93</v>
      </c>
      <c r="C576" t="s">
        <v>4</v>
      </c>
      <c r="D576" t="s">
        <v>2</v>
      </c>
      <c r="E576" t="s">
        <v>7</v>
      </c>
      <c r="F576">
        <v>0</v>
      </c>
      <c r="G576">
        <v>2</v>
      </c>
      <c r="H576">
        <v>0</v>
      </c>
      <c r="I576">
        <v>0</v>
      </c>
      <c r="J576">
        <v>2</v>
      </c>
      <c r="K576">
        <v>1.5</v>
      </c>
    </row>
    <row r="577" spans="1:11" x14ac:dyDescent="0.2">
      <c r="A577" t="s">
        <v>126</v>
      </c>
      <c r="B577">
        <v>93</v>
      </c>
      <c r="C577" t="s">
        <v>15</v>
      </c>
      <c r="D577" t="s">
        <v>2</v>
      </c>
      <c r="E577" t="s">
        <v>16</v>
      </c>
      <c r="F577">
        <v>2</v>
      </c>
      <c r="G577">
        <v>0</v>
      </c>
      <c r="H577">
        <v>0</v>
      </c>
      <c r="I577">
        <v>0</v>
      </c>
      <c r="J577">
        <v>2</v>
      </c>
      <c r="K577">
        <v>2</v>
      </c>
    </row>
    <row r="578" spans="1:11" x14ac:dyDescent="0.2">
      <c r="A578" t="s">
        <v>126</v>
      </c>
      <c r="B578">
        <v>93</v>
      </c>
      <c r="C578" t="s">
        <v>18</v>
      </c>
      <c r="D578" t="s">
        <v>6</v>
      </c>
      <c r="E578" t="s">
        <v>19</v>
      </c>
      <c r="F578">
        <v>0</v>
      </c>
      <c r="G578">
        <v>2</v>
      </c>
      <c r="H578">
        <v>0</v>
      </c>
      <c r="I578">
        <v>0</v>
      </c>
      <c r="J578">
        <v>2</v>
      </c>
      <c r="K578">
        <v>1.5</v>
      </c>
    </row>
    <row r="579" spans="1:11" x14ac:dyDescent="0.2">
      <c r="A579" t="s">
        <v>126</v>
      </c>
      <c r="B579">
        <v>94</v>
      </c>
      <c r="C579" t="s">
        <v>4</v>
      </c>
      <c r="D579" t="s">
        <v>6</v>
      </c>
      <c r="E579" t="s">
        <v>45</v>
      </c>
      <c r="F579">
        <v>0</v>
      </c>
      <c r="G579">
        <v>2</v>
      </c>
      <c r="H579">
        <v>1</v>
      </c>
      <c r="I579">
        <v>0</v>
      </c>
      <c r="J579">
        <v>3</v>
      </c>
      <c r="K579">
        <v>2.1</v>
      </c>
    </row>
    <row r="580" spans="1:11" x14ac:dyDescent="0.2">
      <c r="A580" t="s">
        <v>126</v>
      </c>
      <c r="B580">
        <v>94</v>
      </c>
      <c r="C580" t="s">
        <v>4</v>
      </c>
      <c r="D580" t="s">
        <v>2</v>
      </c>
      <c r="E580" t="s">
        <v>32</v>
      </c>
      <c r="F580">
        <v>2</v>
      </c>
      <c r="G580">
        <v>3</v>
      </c>
      <c r="H580">
        <v>0</v>
      </c>
      <c r="I580">
        <v>0</v>
      </c>
      <c r="J580">
        <v>5</v>
      </c>
      <c r="K580">
        <v>4.25</v>
      </c>
    </row>
    <row r="581" spans="1:11" x14ac:dyDescent="0.2">
      <c r="A581" t="s">
        <v>126</v>
      </c>
      <c r="B581">
        <v>94</v>
      </c>
      <c r="C581" t="s">
        <v>1</v>
      </c>
      <c r="D581" t="s">
        <v>33</v>
      </c>
      <c r="E581" t="s">
        <v>45</v>
      </c>
      <c r="F581">
        <v>0</v>
      </c>
      <c r="G581">
        <v>2</v>
      </c>
      <c r="H581">
        <v>1</v>
      </c>
      <c r="I581">
        <v>0</v>
      </c>
      <c r="J581">
        <v>3</v>
      </c>
      <c r="K581">
        <v>2.1</v>
      </c>
    </row>
    <row r="582" spans="1:11" x14ac:dyDescent="0.2">
      <c r="A582" t="s">
        <v>126</v>
      </c>
      <c r="B582">
        <v>94</v>
      </c>
      <c r="C582" t="s">
        <v>23</v>
      </c>
      <c r="D582" t="s">
        <v>33</v>
      </c>
      <c r="E582" t="s">
        <v>34</v>
      </c>
      <c r="F582">
        <v>0</v>
      </c>
      <c r="G582">
        <v>5</v>
      </c>
      <c r="H582">
        <v>0</v>
      </c>
      <c r="I582">
        <v>0</v>
      </c>
      <c r="J582">
        <v>5</v>
      </c>
      <c r="K582">
        <v>3.75</v>
      </c>
    </row>
    <row r="583" spans="1:11" x14ac:dyDescent="0.2">
      <c r="A583" t="s">
        <v>126</v>
      </c>
      <c r="B583">
        <v>95</v>
      </c>
      <c r="C583" t="s">
        <v>4</v>
      </c>
      <c r="D583" t="s">
        <v>2</v>
      </c>
      <c r="E583" t="s">
        <v>7</v>
      </c>
      <c r="F583">
        <v>0</v>
      </c>
      <c r="G583">
        <v>2</v>
      </c>
      <c r="H583">
        <v>0</v>
      </c>
      <c r="I583">
        <v>0</v>
      </c>
      <c r="J583">
        <v>2</v>
      </c>
      <c r="K583">
        <v>1.5</v>
      </c>
    </row>
    <row r="584" spans="1:11" x14ac:dyDescent="0.2">
      <c r="A584" t="s">
        <v>126</v>
      </c>
      <c r="B584">
        <v>96</v>
      </c>
      <c r="C584" t="s">
        <v>4</v>
      </c>
      <c r="D584" t="s">
        <v>2</v>
      </c>
      <c r="E584" t="s">
        <v>131</v>
      </c>
      <c r="F584">
        <v>0</v>
      </c>
      <c r="G584">
        <v>0</v>
      </c>
      <c r="H584">
        <v>0</v>
      </c>
      <c r="I584">
        <v>2</v>
      </c>
      <c r="J584">
        <v>2</v>
      </c>
      <c r="K584">
        <v>0.2</v>
      </c>
    </row>
    <row r="585" spans="1:11" x14ac:dyDescent="0.2">
      <c r="A585" t="s">
        <v>126</v>
      </c>
      <c r="B585">
        <v>96</v>
      </c>
      <c r="C585" t="s">
        <v>1</v>
      </c>
      <c r="D585" t="s">
        <v>2</v>
      </c>
      <c r="E585" t="s">
        <v>94</v>
      </c>
      <c r="F585">
        <v>0</v>
      </c>
      <c r="G585">
        <v>0</v>
      </c>
      <c r="H585">
        <v>0</v>
      </c>
      <c r="I585">
        <v>1</v>
      </c>
      <c r="J585">
        <v>1</v>
      </c>
      <c r="K585">
        <v>0.1</v>
      </c>
    </row>
    <row r="586" spans="1:11" x14ac:dyDescent="0.2">
      <c r="A586" t="s">
        <v>126</v>
      </c>
      <c r="B586">
        <v>96</v>
      </c>
      <c r="C586" t="s">
        <v>15</v>
      </c>
      <c r="D586" t="s">
        <v>6</v>
      </c>
      <c r="E586" t="s">
        <v>94</v>
      </c>
      <c r="F586">
        <v>0</v>
      </c>
      <c r="G586">
        <v>0</v>
      </c>
      <c r="H586">
        <v>0</v>
      </c>
      <c r="I586">
        <v>1</v>
      </c>
      <c r="J586">
        <v>1</v>
      </c>
      <c r="K586">
        <v>0.1</v>
      </c>
    </row>
    <row r="587" spans="1:11" x14ac:dyDescent="0.2">
      <c r="A587" t="s">
        <v>126</v>
      </c>
      <c r="B587">
        <v>96</v>
      </c>
      <c r="C587" t="s">
        <v>15</v>
      </c>
      <c r="D587" t="s">
        <v>2</v>
      </c>
      <c r="E587" t="s">
        <v>77</v>
      </c>
      <c r="F587">
        <v>0</v>
      </c>
      <c r="G587">
        <v>0</v>
      </c>
      <c r="H587">
        <v>0</v>
      </c>
      <c r="I587">
        <v>1</v>
      </c>
      <c r="J587">
        <v>1</v>
      </c>
      <c r="K587">
        <v>0.1</v>
      </c>
    </row>
    <row r="588" spans="1:11" x14ac:dyDescent="0.2">
      <c r="A588" t="s">
        <v>126</v>
      </c>
      <c r="B588">
        <v>97</v>
      </c>
      <c r="C588" t="s">
        <v>4</v>
      </c>
      <c r="D588" t="s">
        <v>2</v>
      </c>
      <c r="E588" t="s">
        <v>131</v>
      </c>
      <c r="F588">
        <v>0</v>
      </c>
      <c r="G588">
        <v>0</v>
      </c>
      <c r="H588">
        <v>0</v>
      </c>
      <c r="I588">
        <v>1</v>
      </c>
      <c r="J588">
        <v>1</v>
      </c>
      <c r="K588">
        <v>0.1</v>
      </c>
    </row>
    <row r="589" spans="1:11" x14ac:dyDescent="0.2">
      <c r="A589" t="s">
        <v>126</v>
      </c>
      <c r="B589">
        <v>97</v>
      </c>
      <c r="C589" t="s">
        <v>4</v>
      </c>
      <c r="D589" t="s">
        <v>2</v>
      </c>
      <c r="E589" t="s">
        <v>9</v>
      </c>
      <c r="F589">
        <v>0</v>
      </c>
      <c r="G589">
        <v>0</v>
      </c>
      <c r="H589">
        <v>2</v>
      </c>
      <c r="I589">
        <v>0</v>
      </c>
      <c r="J589">
        <v>2</v>
      </c>
      <c r="K589">
        <v>1</v>
      </c>
    </row>
    <row r="590" spans="1:11" x14ac:dyDescent="0.2">
      <c r="A590" t="s">
        <v>126</v>
      </c>
      <c r="B590">
        <v>97</v>
      </c>
      <c r="C590" t="s">
        <v>1</v>
      </c>
      <c r="D590" t="s">
        <v>33</v>
      </c>
      <c r="E590" t="s">
        <v>108</v>
      </c>
      <c r="F590">
        <v>0</v>
      </c>
      <c r="G590">
        <v>0</v>
      </c>
      <c r="H590">
        <v>1</v>
      </c>
      <c r="I590">
        <v>0</v>
      </c>
      <c r="J590">
        <v>1</v>
      </c>
      <c r="K590">
        <v>0.5</v>
      </c>
    </row>
    <row r="591" spans="1:11" x14ac:dyDescent="0.2">
      <c r="A591" t="s">
        <v>126</v>
      </c>
      <c r="B591">
        <v>97</v>
      </c>
      <c r="C591" t="s">
        <v>15</v>
      </c>
      <c r="D591" t="s">
        <v>2</v>
      </c>
      <c r="E591" t="s">
        <v>77</v>
      </c>
      <c r="F591">
        <v>0</v>
      </c>
      <c r="G591">
        <v>0</v>
      </c>
      <c r="H591">
        <v>2</v>
      </c>
      <c r="I591">
        <v>3</v>
      </c>
      <c r="J591">
        <v>5</v>
      </c>
      <c r="K591">
        <v>1.5</v>
      </c>
    </row>
    <row r="592" spans="1:11" x14ac:dyDescent="0.2">
      <c r="A592" t="s">
        <v>126</v>
      </c>
      <c r="B592">
        <v>97</v>
      </c>
      <c r="C592" t="s">
        <v>23</v>
      </c>
      <c r="D592" t="s">
        <v>33</v>
      </c>
      <c r="E592" t="s">
        <v>40</v>
      </c>
      <c r="F592">
        <v>0</v>
      </c>
      <c r="G592">
        <v>1</v>
      </c>
      <c r="H592">
        <v>0</v>
      </c>
      <c r="I592">
        <v>0</v>
      </c>
      <c r="J592">
        <v>1</v>
      </c>
      <c r="K592">
        <v>0.75</v>
      </c>
    </row>
    <row r="593" spans="1:11" x14ac:dyDescent="0.2">
      <c r="A593" t="s">
        <v>126</v>
      </c>
      <c r="B593">
        <v>98</v>
      </c>
      <c r="C593" t="s">
        <v>4</v>
      </c>
      <c r="D593" t="s">
        <v>6</v>
      </c>
      <c r="E593" t="s">
        <v>10</v>
      </c>
      <c r="F593">
        <v>0</v>
      </c>
      <c r="G593">
        <v>0</v>
      </c>
      <c r="H593">
        <v>1</v>
      </c>
      <c r="I593">
        <v>0</v>
      </c>
      <c r="J593">
        <v>1</v>
      </c>
      <c r="K593">
        <v>0.5</v>
      </c>
    </row>
    <row r="594" spans="1:11" x14ac:dyDescent="0.2">
      <c r="A594" t="s">
        <v>126</v>
      </c>
      <c r="B594">
        <v>98</v>
      </c>
      <c r="C594" t="s">
        <v>23</v>
      </c>
      <c r="D594" t="s">
        <v>2</v>
      </c>
      <c r="E594" t="s">
        <v>10</v>
      </c>
      <c r="F594">
        <v>0</v>
      </c>
      <c r="G594">
        <v>0</v>
      </c>
      <c r="H594">
        <v>1</v>
      </c>
      <c r="I594">
        <v>0</v>
      </c>
      <c r="J594">
        <v>1</v>
      </c>
      <c r="K594">
        <v>0.5</v>
      </c>
    </row>
    <row r="595" spans="1:11" x14ac:dyDescent="0.2">
      <c r="A595" t="s">
        <v>126</v>
      </c>
      <c r="B595">
        <v>98</v>
      </c>
      <c r="C595" t="s">
        <v>23</v>
      </c>
      <c r="D595" t="s">
        <v>6</v>
      </c>
      <c r="E595" t="s">
        <v>25</v>
      </c>
      <c r="F595">
        <v>0</v>
      </c>
      <c r="G595">
        <v>0</v>
      </c>
      <c r="H595">
        <v>1</v>
      </c>
      <c r="I595">
        <v>0</v>
      </c>
      <c r="J595">
        <v>1</v>
      </c>
      <c r="K595">
        <v>0.5</v>
      </c>
    </row>
    <row r="596" spans="1:11" x14ac:dyDescent="0.2">
      <c r="A596" t="s">
        <v>126</v>
      </c>
      <c r="B596">
        <v>98</v>
      </c>
      <c r="C596" t="s">
        <v>27</v>
      </c>
      <c r="D596" t="s">
        <v>2</v>
      </c>
      <c r="E596" t="s">
        <v>42</v>
      </c>
      <c r="F596">
        <v>0</v>
      </c>
      <c r="G596">
        <v>0</v>
      </c>
      <c r="H596">
        <v>1</v>
      </c>
      <c r="I596">
        <v>0</v>
      </c>
      <c r="J596">
        <v>1</v>
      </c>
      <c r="K596">
        <v>0.5</v>
      </c>
    </row>
    <row r="597" spans="1:11" x14ac:dyDescent="0.2">
      <c r="A597" t="s">
        <v>126</v>
      </c>
      <c r="B597">
        <v>99</v>
      </c>
      <c r="C597" t="s">
        <v>4</v>
      </c>
      <c r="D597" t="s">
        <v>2</v>
      </c>
      <c r="E597" t="s">
        <v>5</v>
      </c>
      <c r="F597">
        <v>0</v>
      </c>
      <c r="G597">
        <v>0</v>
      </c>
      <c r="H597">
        <v>0</v>
      </c>
      <c r="I597">
        <v>1</v>
      </c>
      <c r="J597">
        <v>1</v>
      </c>
      <c r="K597">
        <v>0.1</v>
      </c>
    </row>
    <row r="598" spans="1:11" x14ac:dyDescent="0.2">
      <c r="A598" t="s">
        <v>126</v>
      </c>
      <c r="B598">
        <v>99</v>
      </c>
      <c r="C598" t="s">
        <v>4</v>
      </c>
      <c r="D598" t="s">
        <v>6</v>
      </c>
      <c r="E598" t="s">
        <v>5</v>
      </c>
      <c r="F598">
        <v>0</v>
      </c>
      <c r="G598">
        <v>0</v>
      </c>
      <c r="H598">
        <v>0</v>
      </c>
      <c r="I598">
        <v>1</v>
      </c>
      <c r="J598">
        <v>1</v>
      </c>
      <c r="K598">
        <v>0.1</v>
      </c>
    </row>
    <row r="599" spans="1:11" x14ac:dyDescent="0.2">
      <c r="A599" t="s">
        <v>126</v>
      </c>
      <c r="B599">
        <v>99</v>
      </c>
      <c r="C599" t="s">
        <v>4</v>
      </c>
      <c r="D599" t="s">
        <v>33</v>
      </c>
      <c r="E599" t="s">
        <v>36</v>
      </c>
      <c r="F599">
        <v>0</v>
      </c>
      <c r="G599">
        <v>2</v>
      </c>
      <c r="H599">
        <v>0</v>
      </c>
      <c r="I599">
        <v>0</v>
      </c>
      <c r="J599">
        <v>2</v>
      </c>
      <c r="K599">
        <v>1.5</v>
      </c>
    </row>
    <row r="600" spans="1:11" x14ac:dyDescent="0.2">
      <c r="A600" t="s">
        <v>126</v>
      </c>
      <c r="B600">
        <v>99</v>
      </c>
      <c r="C600" t="s">
        <v>4</v>
      </c>
      <c r="D600" t="s">
        <v>2</v>
      </c>
      <c r="E600" t="s">
        <v>7</v>
      </c>
      <c r="F600">
        <v>0</v>
      </c>
      <c r="G600">
        <v>1</v>
      </c>
      <c r="H600">
        <v>0</v>
      </c>
      <c r="I600">
        <v>0</v>
      </c>
      <c r="J600">
        <v>1</v>
      </c>
      <c r="K600">
        <v>0.75</v>
      </c>
    </row>
    <row r="601" spans="1:11" x14ac:dyDescent="0.2">
      <c r="A601" t="s">
        <v>126</v>
      </c>
      <c r="B601">
        <v>99</v>
      </c>
      <c r="C601" t="s">
        <v>4</v>
      </c>
      <c r="D601" t="s">
        <v>2</v>
      </c>
      <c r="E601" t="s">
        <v>53</v>
      </c>
      <c r="F601">
        <v>0</v>
      </c>
      <c r="G601">
        <v>0</v>
      </c>
      <c r="H601">
        <v>0</v>
      </c>
      <c r="I601">
        <v>1</v>
      </c>
      <c r="J601">
        <v>1</v>
      </c>
      <c r="K601">
        <v>0.1</v>
      </c>
    </row>
    <row r="602" spans="1:11" x14ac:dyDescent="0.2">
      <c r="A602" t="s">
        <v>126</v>
      </c>
      <c r="B602">
        <v>99</v>
      </c>
      <c r="C602" t="s">
        <v>18</v>
      </c>
      <c r="D602" t="s">
        <v>2</v>
      </c>
      <c r="E602" t="s">
        <v>54</v>
      </c>
      <c r="F602">
        <v>0</v>
      </c>
      <c r="G602">
        <v>0</v>
      </c>
      <c r="H602">
        <v>0</v>
      </c>
      <c r="I602">
        <v>3</v>
      </c>
      <c r="J602">
        <v>3</v>
      </c>
      <c r="K602">
        <v>0.3</v>
      </c>
    </row>
    <row r="603" spans="1:11" x14ac:dyDescent="0.2">
      <c r="A603" t="s">
        <v>126</v>
      </c>
      <c r="B603">
        <v>99</v>
      </c>
      <c r="C603" t="s">
        <v>27</v>
      </c>
      <c r="D603" t="s">
        <v>2</v>
      </c>
      <c r="E603" t="s">
        <v>5</v>
      </c>
      <c r="F603">
        <v>0</v>
      </c>
      <c r="G603">
        <v>0</v>
      </c>
      <c r="H603">
        <v>0</v>
      </c>
      <c r="I603">
        <v>1</v>
      </c>
      <c r="J603">
        <v>1</v>
      </c>
      <c r="K603">
        <v>0.1</v>
      </c>
    </row>
    <row r="604" spans="1:11" x14ac:dyDescent="0.2">
      <c r="A604" t="s">
        <v>126</v>
      </c>
      <c r="B604">
        <v>99</v>
      </c>
      <c r="C604" t="s">
        <v>27</v>
      </c>
      <c r="D604" t="s">
        <v>6</v>
      </c>
      <c r="E604" t="s">
        <v>55</v>
      </c>
      <c r="F604">
        <v>2</v>
      </c>
      <c r="G604">
        <v>0</v>
      </c>
      <c r="H604">
        <v>0</v>
      </c>
      <c r="I604">
        <v>0</v>
      </c>
      <c r="J604">
        <v>2</v>
      </c>
      <c r="K604">
        <v>2</v>
      </c>
    </row>
    <row r="605" spans="1:11" x14ac:dyDescent="0.2">
      <c r="A605" t="s">
        <v>126</v>
      </c>
      <c r="B605">
        <v>100</v>
      </c>
      <c r="C605" t="s">
        <v>11</v>
      </c>
      <c r="D605" t="s">
        <v>6</v>
      </c>
      <c r="E605" t="s">
        <v>78</v>
      </c>
      <c r="F605">
        <v>0</v>
      </c>
      <c r="G605">
        <v>0</v>
      </c>
      <c r="H605">
        <v>1</v>
      </c>
      <c r="I605">
        <v>0</v>
      </c>
      <c r="J605">
        <v>1</v>
      </c>
      <c r="K605">
        <v>0.5</v>
      </c>
    </row>
    <row r="606" spans="1:11" x14ac:dyDescent="0.2">
      <c r="A606" t="s">
        <v>126</v>
      </c>
      <c r="B606">
        <v>100</v>
      </c>
      <c r="C606" t="s">
        <v>11</v>
      </c>
      <c r="D606" t="s">
        <v>2</v>
      </c>
      <c r="E606" t="s">
        <v>66</v>
      </c>
      <c r="F606">
        <v>1</v>
      </c>
      <c r="G606">
        <v>0</v>
      </c>
      <c r="H606">
        <v>0</v>
      </c>
      <c r="I606">
        <v>0</v>
      </c>
      <c r="J606">
        <v>1</v>
      </c>
      <c r="K606">
        <v>1</v>
      </c>
    </row>
    <row r="607" spans="1:11" x14ac:dyDescent="0.2">
      <c r="A607" t="s">
        <v>126</v>
      </c>
      <c r="B607">
        <v>100</v>
      </c>
      <c r="C607" t="s">
        <v>11</v>
      </c>
      <c r="D607" t="s">
        <v>2</v>
      </c>
      <c r="E607" t="s">
        <v>62</v>
      </c>
      <c r="F607">
        <v>0</v>
      </c>
      <c r="G607">
        <v>0</v>
      </c>
      <c r="H607">
        <v>2</v>
      </c>
      <c r="I607">
        <v>0</v>
      </c>
      <c r="J607">
        <v>2</v>
      </c>
      <c r="K607">
        <v>1</v>
      </c>
    </row>
    <row r="608" spans="1:11" x14ac:dyDescent="0.2">
      <c r="A608" t="s">
        <v>126</v>
      </c>
      <c r="B608">
        <v>100</v>
      </c>
      <c r="C608" t="s">
        <v>11</v>
      </c>
      <c r="D608" t="s">
        <v>2</v>
      </c>
      <c r="E608" t="s">
        <v>132</v>
      </c>
      <c r="F608">
        <v>1</v>
      </c>
      <c r="G608">
        <v>0</v>
      </c>
      <c r="H608">
        <v>0</v>
      </c>
      <c r="I608">
        <v>0</v>
      </c>
      <c r="J608">
        <v>1</v>
      </c>
      <c r="K608">
        <v>1</v>
      </c>
    </row>
    <row r="609" spans="1:11" x14ac:dyDescent="0.2">
      <c r="A609" t="s">
        <v>126</v>
      </c>
      <c r="B609">
        <v>100</v>
      </c>
      <c r="C609" t="s">
        <v>15</v>
      </c>
      <c r="D609" t="s">
        <v>2</v>
      </c>
      <c r="E609" t="s">
        <v>16</v>
      </c>
      <c r="F609">
        <v>0</v>
      </c>
      <c r="G609">
        <v>0</v>
      </c>
      <c r="H609">
        <v>0</v>
      </c>
      <c r="I609">
        <v>1</v>
      </c>
      <c r="J609">
        <v>1</v>
      </c>
      <c r="K609">
        <v>0.1</v>
      </c>
    </row>
    <row r="610" spans="1:11" x14ac:dyDescent="0.2">
      <c r="A610" t="s">
        <v>126</v>
      </c>
      <c r="B610">
        <v>100</v>
      </c>
      <c r="C610" t="s">
        <v>15</v>
      </c>
      <c r="D610" t="s">
        <v>2</v>
      </c>
      <c r="E610" t="s">
        <v>66</v>
      </c>
      <c r="F610">
        <v>1</v>
      </c>
      <c r="G610">
        <v>0</v>
      </c>
      <c r="H610">
        <v>0</v>
      </c>
      <c r="I610">
        <v>0</v>
      </c>
      <c r="J610">
        <v>1</v>
      </c>
      <c r="K610">
        <v>1</v>
      </c>
    </row>
    <row r="611" spans="1:11" x14ac:dyDescent="0.2">
      <c r="A611" t="s">
        <v>126</v>
      </c>
      <c r="B611">
        <v>100</v>
      </c>
      <c r="C611" t="s">
        <v>15</v>
      </c>
      <c r="D611" t="s">
        <v>2</v>
      </c>
      <c r="E611" t="s">
        <v>77</v>
      </c>
      <c r="F611">
        <v>0</v>
      </c>
      <c r="G611">
        <v>0</v>
      </c>
      <c r="H611">
        <v>0</v>
      </c>
      <c r="I611">
        <v>1</v>
      </c>
      <c r="J611">
        <v>1</v>
      </c>
      <c r="K611">
        <v>0.1</v>
      </c>
    </row>
    <row r="612" spans="1:11" x14ac:dyDescent="0.2">
      <c r="A612" t="s">
        <v>126</v>
      </c>
      <c r="B612">
        <v>100</v>
      </c>
      <c r="C612" t="s">
        <v>18</v>
      </c>
      <c r="D612" t="s">
        <v>2</v>
      </c>
      <c r="E612" t="s">
        <v>62</v>
      </c>
      <c r="F612">
        <v>0</v>
      </c>
      <c r="G612">
        <v>0</v>
      </c>
      <c r="H612">
        <v>2</v>
      </c>
      <c r="I612">
        <v>0</v>
      </c>
      <c r="J612">
        <v>2</v>
      </c>
      <c r="K612">
        <v>1</v>
      </c>
    </row>
    <row r="613" spans="1:11" x14ac:dyDescent="0.2">
      <c r="A613" t="s">
        <v>126</v>
      </c>
      <c r="B613">
        <v>100</v>
      </c>
      <c r="C613" t="s">
        <v>27</v>
      </c>
      <c r="D613" t="s">
        <v>33</v>
      </c>
      <c r="E613" t="s">
        <v>133</v>
      </c>
      <c r="F613">
        <v>0</v>
      </c>
      <c r="G613">
        <v>0</v>
      </c>
      <c r="H613">
        <v>1</v>
      </c>
      <c r="I613">
        <v>0</v>
      </c>
      <c r="J613">
        <v>1</v>
      </c>
      <c r="K613">
        <v>0.5</v>
      </c>
    </row>
    <row r="614" spans="1:11" x14ac:dyDescent="0.2">
      <c r="A614" t="s">
        <v>126</v>
      </c>
      <c r="B614">
        <v>100</v>
      </c>
      <c r="C614" t="s">
        <v>27</v>
      </c>
      <c r="D614" t="s">
        <v>2</v>
      </c>
      <c r="E614" t="s">
        <v>49</v>
      </c>
      <c r="F614">
        <v>0</v>
      </c>
      <c r="G614">
        <v>0</v>
      </c>
      <c r="H614">
        <v>0</v>
      </c>
      <c r="I614">
        <v>2</v>
      </c>
      <c r="J614">
        <v>2</v>
      </c>
      <c r="K614">
        <v>0.2</v>
      </c>
    </row>
    <row r="615" spans="1:11" x14ac:dyDescent="0.2">
      <c r="A615" t="s">
        <v>126</v>
      </c>
      <c r="B615">
        <v>100</v>
      </c>
      <c r="C615" t="s">
        <v>27</v>
      </c>
      <c r="D615" t="s">
        <v>6</v>
      </c>
      <c r="E615" t="s">
        <v>50</v>
      </c>
      <c r="F615">
        <v>0</v>
      </c>
      <c r="G615">
        <v>0</v>
      </c>
      <c r="H615">
        <v>0</v>
      </c>
      <c r="I615">
        <v>2</v>
      </c>
      <c r="J615">
        <v>2</v>
      </c>
      <c r="K615">
        <v>0.2</v>
      </c>
    </row>
    <row r="616" spans="1:11" x14ac:dyDescent="0.2">
      <c r="A616" t="s">
        <v>126</v>
      </c>
      <c r="B616">
        <v>100</v>
      </c>
      <c r="C616" t="s">
        <v>27</v>
      </c>
      <c r="D616" t="s">
        <v>33</v>
      </c>
      <c r="E616" t="s">
        <v>50</v>
      </c>
      <c r="F616">
        <v>0</v>
      </c>
      <c r="G616">
        <v>0</v>
      </c>
      <c r="H616">
        <v>0</v>
      </c>
      <c r="I616">
        <v>2</v>
      </c>
      <c r="J616">
        <v>2</v>
      </c>
      <c r="K616">
        <v>0.2</v>
      </c>
    </row>
    <row r="617" spans="1:11" x14ac:dyDescent="0.2">
      <c r="A617" t="s">
        <v>126</v>
      </c>
      <c r="B617">
        <v>101</v>
      </c>
      <c r="C617" t="s">
        <v>4</v>
      </c>
      <c r="D617" t="s">
        <v>33</v>
      </c>
      <c r="E617" t="s">
        <v>36</v>
      </c>
      <c r="F617">
        <v>0</v>
      </c>
      <c r="G617">
        <v>0</v>
      </c>
      <c r="H617">
        <v>1</v>
      </c>
      <c r="I617">
        <v>0</v>
      </c>
      <c r="J617">
        <v>1</v>
      </c>
      <c r="K617">
        <v>0.5</v>
      </c>
    </row>
    <row r="618" spans="1:11" x14ac:dyDescent="0.2">
      <c r="A618" t="s">
        <v>126</v>
      </c>
      <c r="B618">
        <v>101</v>
      </c>
      <c r="C618" t="s">
        <v>4</v>
      </c>
      <c r="D618" t="s">
        <v>6</v>
      </c>
      <c r="E618" t="s">
        <v>45</v>
      </c>
      <c r="F618">
        <v>0</v>
      </c>
      <c r="G618">
        <v>0</v>
      </c>
      <c r="H618">
        <v>0</v>
      </c>
      <c r="I618">
        <v>1</v>
      </c>
      <c r="J618">
        <v>1</v>
      </c>
      <c r="K618">
        <v>0.1</v>
      </c>
    </row>
    <row r="619" spans="1:11" x14ac:dyDescent="0.2">
      <c r="A619" t="s">
        <v>126</v>
      </c>
      <c r="B619">
        <v>101</v>
      </c>
      <c r="C619" t="s">
        <v>11</v>
      </c>
      <c r="D619" t="s">
        <v>2</v>
      </c>
      <c r="E619" t="s">
        <v>30</v>
      </c>
      <c r="F619">
        <v>0</v>
      </c>
      <c r="G619">
        <v>0</v>
      </c>
      <c r="H619">
        <v>1</v>
      </c>
      <c r="I619">
        <v>1</v>
      </c>
      <c r="J619">
        <v>2</v>
      </c>
      <c r="K619">
        <v>0.6</v>
      </c>
    </row>
    <row r="620" spans="1:11" x14ac:dyDescent="0.2">
      <c r="A620" t="s">
        <v>126</v>
      </c>
      <c r="B620">
        <v>101</v>
      </c>
      <c r="C620" t="s">
        <v>11</v>
      </c>
      <c r="D620" t="s">
        <v>2</v>
      </c>
      <c r="E620" t="s">
        <v>132</v>
      </c>
      <c r="F620">
        <v>0</v>
      </c>
      <c r="G620">
        <v>0</v>
      </c>
      <c r="H620">
        <v>0</v>
      </c>
      <c r="I620">
        <v>2</v>
      </c>
      <c r="J620">
        <v>2</v>
      </c>
      <c r="K620">
        <v>0.2</v>
      </c>
    </row>
    <row r="621" spans="1:11" x14ac:dyDescent="0.2">
      <c r="A621" t="s">
        <v>126</v>
      </c>
      <c r="B621">
        <v>101</v>
      </c>
      <c r="C621" t="s">
        <v>1</v>
      </c>
      <c r="D621" t="s">
        <v>33</v>
      </c>
      <c r="E621" t="s">
        <v>45</v>
      </c>
      <c r="F621">
        <v>0</v>
      </c>
      <c r="G621">
        <v>0</v>
      </c>
      <c r="H621">
        <v>0</v>
      </c>
      <c r="I621">
        <v>1</v>
      </c>
      <c r="J621">
        <v>1</v>
      </c>
      <c r="K621">
        <v>0.1</v>
      </c>
    </row>
    <row r="622" spans="1:11" x14ac:dyDescent="0.2">
      <c r="A622" t="s">
        <v>126</v>
      </c>
      <c r="B622">
        <v>101</v>
      </c>
      <c r="C622" t="s">
        <v>1</v>
      </c>
      <c r="D622" t="s">
        <v>2</v>
      </c>
      <c r="E622" t="s">
        <v>14</v>
      </c>
      <c r="F622">
        <v>0</v>
      </c>
      <c r="G622">
        <v>0</v>
      </c>
      <c r="H622">
        <v>1</v>
      </c>
      <c r="I622">
        <v>0</v>
      </c>
      <c r="J622">
        <v>1</v>
      </c>
      <c r="K622">
        <v>0.5</v>
      </c>
    </row>
    <row r="623" spans="1:11" x14ac:dyDescent="0.2">
      <c r="A623" t="s">
        <v>126</v>
      </c>
      <c r="B623">
        <v>101</v>
      </c>
      <c r="C623" t="s">
        <v>15</v>
      </c>
      <c r="D623" t="s">
        <v>2</v>
      </c>
      <c r="E623" t="s">
        <v>16</v>
      </c>
      <c r="F623">
        <v>0</v>
      </c>
      <c r="G623">
        <v>0</v>
      </c>
      <c r="H623">
        <v>0</v>
      </c>
      <c r="I623">
        <v>1</v>
      </c>
      <c r="J623">
        <v>1</v>
      </c>
      <c r="K623">
        <v>0.1</v>
      </c>
    </row>
    <row r="624" spans="1:11" x14ac:dyDescent="0.2">
      <c r="A624" t="s">
        <v>126</v>
      </c>
      <c r="B624">
        <v>101</v>
      </c>
      <c r="C624" t="s">
        <v>18</v>
      </c>
      <c r="D624" t="s">
        <v>6</v>
      </c>
      <c r="E624" t="s">
        <v>47</v>
      </c>
      <c r="F624">
        <v>2</v>
      </c>
      <c r="G624">
        <v>0</v>
      </c>
      <c r="H624">
        <v>2</v>
      </c>
      <c r="I624">
        <v>3</v>
      </c>
      <c r="J624">
        <v>7</v>
      </c>
      <c r="K624">
        <v>3.3</v>
      </c>
    </row>
    <row r="625" spans="1:11" x14ac:dyDescent="0.2">
      <c r="A625" t="s">
        <v>126</v>
      </c>
      <c r="B625">
        <v>102</v>
      </c>
      <c r="C625" t="s">
        <v>4</v>
      </c>
      <c r="D625" t="s">
        <v>33</v>
      </c>
      <c r="E625" t="s">
        <v>36</v>
      </c>
      <c r="F625">
        <v>0</v>
      </c>
      <c r="G625">
        <v>1</v>
      </c>
      <c r="H625">
        <v>0</v>
      </c>
      <c r="I625">
        <v>0</v>
      </c>
      <c r="J625">
        <v>1</v>
      </c>
      <c r="K625">
        <v>0.75</v>
      </c>
    </row>
    <row r="626" spans="1:11" x14ac:dyDescent="0.2">
      <c r="A626" t="s">
        <v>126</v>
      </c>
      <c r="B626">
        <v>102</v>
      </c>
      <c r="C626" t="s">
        <v>4</v>
      </c>
      <c r="D626" t="s">
        <v>6</v>
      </c>
      <c r="E626" t="s">
        <v>45</v>
      </c>
      <c r="F626">
        <v>0</v>
      </c>
      <c r="G626">
        <v>1</v>
      </c>
      <c r="H626">
        <v>0</v>
      </c>
      <c r="I626">
        <v>0</v>
      </c>
      <c r="J626">
        <v>1</v>
      </c>
      <c r="K626">
        <v>0.75</v>
      </c>
    </row>
    <row r="627" spans="1:11" x14ac:dyDescent="0.2">
      <c r="A627" t="s">
        <v>126</v>
      </c>
      <c r="B627">
        <v>102</v>
      </c>
      <c r="C627" t="s">
        <v>4</v>
      </c>
      <c r="D627" t="s">
        <v>2</v>
      </c>
      <c r="E627" t="s">
        <v>7</v>
      </c>
      <c r="F627">
        <v>0</v>
      </c>
      <c r="G627">
        <v>2</v>
      </c>
      <c r="H627">
        <v>0</v>
      </c>
      <c r="I627">
        <v>0</v>
      </c>
      <c r="J627">
        <v>2</v>
      </c>
      <c r="K627">
        <v>1.5</v>
      </c>
    </row>
    <row r="628" spans="1:11" x14ac:dyDescent="0.2">
      <c r="A628" t="s">
        <v>126</v>
      </c>
      <c r="B628">
        <v>102</v>
      </c>
      <c r="C628" t="s">
        <v>4</v>
      </c>
      <c r="D628" t="s">
        <v>6</v>
      </c>
      <c r="E628" t="s">
        <v>10</v>
      </c>
      <c r="F628">
        <v>0</v>
      </c>
      <c r="G628">
        <v>1</v>
      </c>
      <c r="H628">
        <v>7</v>
      </c>
      <c r="I628">
        <v>1</v>
      </c>
      <c r="J628">
        <v>9</v>
      </c>
      <c r="K628">
        <v>4.3499999999999996</v>
      </c>
    </row>
    <row r="629" spans="1:11" x14ac:dyDescent="0.2">
      <c r="A629" t="s">
        <v>126</v>
      </c>
      <c r="B629">
        <v>102</v>
      </c>
      <c r="C629" t="s">
        <v>4</v>
      </c>
      <c r="D629" t="s">
        <v>2</v>
      </c>
      <c r="E629" t="s">
        <v>32</v>
      </c>
      <c r="F629">
        <v>1</v>
      </c>
      <c r="G629">
        <v>0</v>
      </c>
      <c r="H629">
        <v>0</v>
      </c>
      <c r="I629">
        <v>0</v>
      </c>
      <c r="J629">
        <v>1</v>
      </c>
      <c r="K629">
        <v>1</v>
      </c>
    </row>
    <row r="630" spans="1:11" x14ac:dyDescent="0.2">
      <c r="A630" t="s">
        <v>126</v>
      </c>
      <c r="B630">
        <v>102</v>
      </c>
      <c r="C630" t="s">
        <v>1</v>
      </c>
      <c r="D630" t="s">
        <v>33</v>
      </c>
      <c r="E630" t="s">
        <v>45</v>
      </c>
      <c r="F630">
        <v>0</v>
      </c>
      <c r="G630">
        <v>1</v>
      </c>
      <c r="H630">
        <v>0</v>
      </c>
      <c r="I630">
        <v>0</v>
      </c>
      <c r="J630">
        <v>1</v>
      </c>
      <c r="K630">
        <v>0.75</v>
      </c>
    </row>
    <row r="631" spans="1:11" x14ac:dyDescent="0.2">
      <c r="A631" t="s">
        <v>126</v>
      </c>
      <c r="B631">
        <v>102</v>
      </c>
      <c r="C631" t="s">
        <v>23</v>
      </c>
      <c r="D631" t="s">
        <v>33</v>
      </c>
      <c r="E631" t="s">
        <v>34</v>
      </c>
      <c r="F631">
        <v>0</v>
      </c>
      <c r="G631">
        <v>1</v>
      </c>
      <c r="H631">
        <v>0</v>
      </c>
      <c r="I631">
        <v>0</v>
      </c>
      <c r="J631">
        <v>1</v>
      </c>
      <c r="K631">
        <v>0.75</v>
      </c>
    </row>
    <row r="632" spans="1:11" x14ac:dyDescent="0.2">
      <c r="A632" t="s">
        <v>126</v>
      </c>
      <c r="B632">
        <v>102</v>
      </c>
      <c r="C632" t="s">
        <v>23</v>
      </c>
      <c r="D632" t="s">
        <v>2</v>
      </c>
      <c r="E632" t="s">
        <v>58</v>
      </c>
      <c r="F632">
        <v>0</v>
      </c>
      <c r="G632">
        <v>0</v>
      </c>
      <c r="H632">
        <v>1</v>
      </c>
      <c r="I632">
        <v>0</v>
      </c>
      <c r="J632">
        <v>1</v>
      </c>
      <c r="K632">
        <v>0.6</v>
      </c>
    </row>
    <row r="633" spans="1:11" x14ac:dyDescent="0.2">
      <c r="A633" t="s">
        <v>126</v>
      </c>
      <c r="B633">
        <v>102</v>
      </c>
      <c r="C633" t="s">
        <v>23</v>
      </c>
      <c r="D633" t="s">
        <v>2</v>
      </c>
      <c r="E633" t="s">
        <v>10</v>
      </c>
      <c r="F633">
        <v>0</v>
      </c>
      <c r="G633">
        <v>1</v>
      </c>
      <c r="H633">
        <v>7</v>
      </c>
      <c r="I633">
        <v>1</v>
      </c>
      <c r="J633">
        <v>9</v>
      </c>
      <c r="K633">
        <v>4.3499999999999996</v>
      </c>
    </row>
    <row r="634" spans="1:11" x14ac:dyDescent="0.2">
      <c r="A634" t="s">
        <v>126</v>
      </c>
      <c r="B634">
        <v>102</v>
      </c>
      <c r="C634" t="s">
        <v>23</v>
      </c>
      <c r="D634" t="s">
        <v>6</v>
      </c>
      <c r="E634" t="s">
        <v>25</v>
      </c>
      <c r="F634">
        <v>0</v>
      </c>
      <c r="G634">
        <v>1</v>
      </c>
      <c r="H634">
        <v>7</v>
      </c>
      <c r="I634">
        <v>1</v>
      </c>
      <c r="J634">
        <v>9</v>
      </c>
      <c r="K634">
        <v>4.3499999999999996</v>
      </c>
    </row>
    <row r="635" spans="1:11" x14ac:dyDescent="0.2">
      <c r="A635" t="s">
        <v>126</v>
      </c>
      <c r="B635">
        <v>102</v>
      </c>
      <c r="C635" t="s">
        <v>23</v>
      </c>
      <c r="D635" t="s">
        <v>2</v>
      </c>
      <c r="E635" t="s">
        <v>35</v>
      </c>
      <c r="F635">
        <v>0</v>
      </c>
      <c r="G635">
        <v>0</v>
      </c>
      <c r="H635">
        <v>0</v>
      </c>
      <c r="I635">
        <v>2</v>
      </c>
      <c r="J635">
        <v>2</v>
      </c>
      <c r="K635">
        <v>0.2</v>
      </c>
    </row>
    <row r="636" spans="1:11" x14ac:dyDescent="0.2">
      <c r="A636" t="s">
        <v>126</v>
      </c>
      <c r="B636">
        <v>103</v>
      </c>
      <c r="C636" t="s">
        <v>4</v>
      </c>
      <c r="D636" t="s">
        <v>6</v>
      </c>
      <c r="E636" t="s">
        <v>45</v>
      </c>
      <c r="F636">
        <v>0</v>
      </c>
      <c r="G636">
        <v>0</v>
      </c>
      <c r="H636">
        <v>0</v>
      </c>
      <c r="I636">
        <v>2</v>
      </c>
      <c r="J636">
        <v>2</v>
      </c>
      <c r="K636">
        <v>0.2</v>
      </c>
    </row>
    <row r="637" spans="1:11" x14ac:dyDescent="0.2">
      <c r="A637" t="s">
        <v>126</v>
      </c>
      <c r="B637">
        <v>103</v>
      </c>
      <c r="C637" t="s">
        <v>4</v>
      </c>
      <c r="D637" t="s">
        <v>2</v>
      </c>
      <c r="E637" t="s">
        <v>7</v>
      </c>
      <c r="F637">
        <v>0</v>
      </c>
      <c r="G637">
        <v>2</v>
      </c>
      <c r="H637">
        <v>0</v>
      </c>
      <c r="I637">
        <v>0</v>
      </c>
      <c r="J637">
        <v>2</v>
      </c>
      <c r="K637">
        <v>1.5</v>
      </c>
    </row>
    <row r="638" spans="1:11" x14ac:dyDescent="0.2">
      <c r="A638" t="s">
        <v>126</v>
      </c>
      <c r="B638">
        <v>103</v>
      </c>
      <c r="C638" t="s">
        <v>4</v>
      </c>
      <c r="D638" t="s">
        <v>2</v>
      </c>
      <c r="E638" t="s">
        <v>32</v>
      </c>
      <c r="F638">
        <v>2</v>
      </c>
      <c r="G638">
        <v>3</v>
      </c>
      <c r="H638">
        <v>0</v>
      </c>
      <c r="I638">
        <v>0</v>
      </c>
      <c r="J638">
        <v>5</v>
      </c>
      <c r="K638">
        <v>4.25</v>
      </c>
    </row>
    <row r="639" spans="1:11" x14ac:dyDescent="0.2">
      <c r="A639" t="s">
        <v>126</v>
      </c>
      <c r="B639">
        <v>103</v>
      </c>
      <c r="C639" t="s">
        <v>1</v>
      </c>
      <c r="D639" t="s">
        <v>33</v>
      </c>
      <c r="E639" t="s">
        <v>45</v>
      </c>
      <c r="F639">
        <v>0</v>
      </c>
      <c r="G639">
        <v>0</v>
      </c>
      <c r="H639">
        <v>0</v>
      </c>
      <c r="I639">
        <v>2</v>
      </c>
      <c r="J639">
        <v>2</v>
      </c>
      <c r="K639">
        <v>0.2</v>
      </c>
    </row>
    <row r="640" spans="1:11" x14ac:dyDescent="0.2">
      <c r="A640" t="s">
        <v>126</v>
      </c>
      <c r="B640">
        <v>103</v>
      </c>
      <c r="C640" t="s">
        <v>23</v>
      </c>
      <c r="D640" t="s">
        <v>33</v>
      </c>
      <c r="E640" t="s">
        <v>34</v>
      </c>
      <c r="F640">
        <v>0</v>
      </c>
      <c r="G640">
        <v>5</v>
      </c>
      <c r="H640">
        <v>0</v>
      </c>
      <c r="I640">
        <v>0</v>
      </c>
      <c r="J640">
        <v>5</v>
      </c>
      <c r="K640">
        <v>3.75</v>
      </c>
    </row>
    <row r="641" spans="1:11" x14ac:dyDescent="0.2">
      <c r="A641" t="s">
        <v>126</v>
      </c>
      <c r="B641">
        <v>103</v>
      </c>
      <c r="C641" t="s">
        <v>23</v>
      </c>
      <c r="D641" t="s">
        <v>2</v>
      </c>
      <c r="E641" t="s">
        <v>35</v>
      </c>
      <c r="F641">
        <v>0</v>
      </c>
      <c r="G641">
        <v>0</v>
      </c>
      <c r="H641">
        <v>0</v>
      </c>
      <c r="I641">
        <v>3</v>
      </c>
      <c r="J641">
        <v>3</v>
      </c>
      <c r="K641">
        <v>0.3</v>
      </c>
    </row>
    <row r="642" spans="1:11" x14ac:dyDescent="0.2">
      <c r="A642" t="s">
        <v>126</v>
      </c>
      <c r="B642">
        <v>104</v>
      </c>
      <c r="C642" t="s">
        <v>4</v>
      </c>
      <c r="D642" t="s">
        <v>6</v>
      </c>
      <c r="E642" t="s">
        <v>45</v>
      </c>
      <c r="F642">
        <v>0</v>
      </c>
      <c r="G642">
        <v>1</v>
      </c>
      <c r="H642">
        <v>0</v>
      </c>
      <c r="I642">
        <v>1</v>
      </c>
      <c r="J642">
        <v>2</v>
      </c>
      <c r="K642">
        <v>0.85</v>
      </c>
    </row>
    <row r="643" spans="1:11" x14ac:dyDescent="0.2">
      <c r="A643" t="s">
        <v>126</v>
      </c>
      <c r="B643">
        <v>104</v>
      </c>
      <c r="C643" t="s">
        <v>4</v>
      </c>
      <c r="D643" t="s">
        <v>2</v>
      </c>
      <c r="E643" t="s">
        <v>7</v>
      </c>
      <c r="F643">
        <v>0</v>
      </c>
      <c r="G643">
        <v>1</v>
      </c>
      <c r="H643">
        <v>0</v>
      </c>
      <c r="I643">
        <v>0</v>
      </c>
      <c r="J643">
        <v>1</v>
      </c>
      <c r="K643">
        <v>0.75</v>
      </c>
    </row>
    <row r="644" spans="1:11" x14ac:dyDescent="0.2">
      <c r="A644" t="s">
        <v>126</v>
      </c>
      <c r="B644">
        <v>104</v>
      </c>
      <c r="C644" t="s">
        <v>4</v>
      </c>
      <c r="D644" t="s">
        <v>2</v>
      </c>
      <c r="E644" t="s">
        <v>32</v>
      </c>
      <c r="F644">
        <v>0</v>
      </c>
      <c r="G644">
        <v>0</v>
      </c>
      <c r="H644">
        <v>1</v>
      </c>
      <c r="I644">
        <v>0</v>
      </c>
      <c r="J644">
        <v>1</v>
      </c>
      <c r="K644">
        <v>0.5</v>
      </c>
    </row>
    <row r="645" spans="1:11" x14ac:dyDescent="0.2">
      <c r="A645" t="s">
        <v>126</v>
      </c>
      <c r="B645">
        <v>104</v>
      </c>
      <c r="C645" t="s">
        <v>1</v>
      </c>
      <c r="D645" t="s">
        <v>33</v>
      </c>
      <c r="E645" t="s">
        <v>45</v>
      </c>
      <c r="F645">
        <v>0</v>
      </c>
      <c r="G645">
        <v>1</v>
      </c>
      <c r="H645">
        <v>0</v>
      </c>
      <c r="I645">
        <v>1</v>
      </c>
      <c r="J645">
        <v>2</v>
      </c>
      <c r="K645">
        <v>0.85</v>
      </c>
    </row>
    <row r="646" spans="1:11" x14ac:dyDescent="0.2">
      <c r="A646" t="s">
        <v>126</v>
      </c>
      <c r="B646">
        <v>104</v>
      </c>
      <c r="C646" t="s">
        <v>1</v>
      </c>
      <c r="D646" t="s">
        <v>2</v>
      </c>
      <c r="E646" t="s">
        <v>127</v>
      </c>
      <c r="F646">
        <v>0</v>
      </c>
      <c r="G646">
        <v>0</v>
      </c>
      <c r="H646">
        <v>2</v>
      </c>
      <c r="I646">
        <v>0</v>
      </c>
      <c r="J646">
        <v>2</v>
      </c>
      <c r="K646">
        <v>1</v>
      </c>
    </row>
    <row r="647" spans="1:11" x14ac:dyDescent="0.2">
      <c r="A647" t="s">
        <v>126</v>
      </c>
      <c r="B647">
        <v>104</v>
      </c>
      <c r="C647" t="s">
        <v>18</v>
      </c>
      <c r="D647" t="s">
        <v>2</v>
      </c>
      <c r="E647" t="s">
        <v>21</v>
      </c>
      <c r="F647">
        <v>0</v>
      </c>
      <c r="G647">
        <v>0</v>
      </c>
      <c r="H647">
        <v>0</v>
      </c>
      <c r="I647">
        <v>1</v>
      </c>
      <c r="J647">
        <v>1</v>
      </c>
      <c r="K647">
        <v>0.1</v>
      </c>
    </row>
    <row r="648" spans="1:11" x14ac:dyDescent="0.2">
      <c r="A648" t="s">
        <v>126</v>
      </c>
      <c r="B648">
        <v>104</v>
      </c>
      <c r="C648" t="s">
        <v>18</v>
      </c>
      <c r="D648" t="s">
        <v>2</v>
      </c>
      <c r="E648" t="s">
        <v>54</v>
      </c>
      <c r="F648">
        <v>0</v>
      </c>
      <c r="G648">
        <v>0</v>
      </c>
      <c r="H648">
        <v>0</v>
      </c>
      <c r="I648">
        <v>8</v>
      </c>
      <c r="J648">
        <v>8</v>
      </c>
      <c r="K648">
        <v>0.8</v>
      </c>
    </row>
    <row r="649" spans="1:11" x14ac:dyDescent="0.2">
      <c r="A649" t="s">
        <v>126</v>
      </c>
      <c r="B649">
        <v>104</v>
      </c>
      <c r="C649" t="s">
        <v>23</v>
      </c>
      <c r="D649" t="s">
        <v>33</v>
      </c>
      <c r="E649" t="s">
        <v>34</v>
      </c>
      <c r="F649">
        <v>0</v>
      </c>
      <c r="G649">
        <v>0</v>
      </c>
      <c r="H649">
        <v>1</v>
      </c>
      <c r="I649">
        <v>0</v>
      </c>
      <c r="J649">
        <v>1</v>
      </c>
      <c r="K649">
        <v>0.5</v>
      </c>
    </row>
    <row r="650" spans="1:11" x14ac:dyDescent="0.2">
      <c r="A650" t="s">
        <v>126</v>
      </c>
      <c r="B650">
        <v>104</v>
      </c>
      <c r="C650" t="s">
        <v>23</v>
      </c>
      <c r="D650" t="s">
        <v>2</v>
      </c>
      <c r="E650" t="s">
        <v>35</v>
      </c>
      <c r="F650">
        <v>0</v>
      </c>
      <c r="G650">
        <v>0</v>
      </c>
      <c r="H650">
        <v>0</v>
      </c>
      <c r="I650">
        <v>1</v>
      </c>
      <c r="J650">
        <v>1</v>
      </c>
      <c r="K650">
        <v>0.1</v>
      </c>
    </row>
    <row r="651" spans="1:11" x14ac:dyDescent="0.2">
      <c r="A651" t="s">
        <v>126</v>
      </c>
      <c r="B651">
        <v>105</v>
      </c>
      <c r="C651" t="s">
        <v>4</v>
      </c>
      <c r="D651" t="s">
        <v>2</v>
      </c>
      <c r="E651" t="s">
        <v>32</v>
      </c>
      <c r="F651">
        <v>0</v>
      </c>
      <c r="G651">
        <v>1</v>
      </c>
      <c r="H651">
        <v>0</v>
      </c>
      <c r="I651">
        <v>0</v>
      </c>
      <c r="J651">
        <v>1</v>
      </c>
      <c r="K651">
        <v>0.75</v>
      </c>
    </row>
    <row r="652" spans="1:11" x14ac:dyDescent="0.2">
      <c r="A652" t="s">
        <v>126</v>
      </c>
      <c r="B652">
        <v>105</v>
      </c>
      <c r="C652" t="s">
        <v>23</v>
      </c>
      <c r="D652" t="s">
        <v>33</v>
      </c>
      <c r="E652" t="s">
        <v>34</v>
      </c>
      <c r="F652">
        <v>0</v>
      </c>
      <c r="G652">
        <v>1</v>
      </c>
      <c r="H652">
        <v>0</v>
      </c>
      <c r="I652">
        <v>0</v>
      </c>
      <c r="J652">
        <v>1</v>
      </c>
      <c r="K652">
        <v>0.75</v>
      </c>
    </row>
    <row r="653" spans="1:11" x14ac:dyDescent="0.2">
      <c r="A653" t="s">
        <v>126</v>
      </c>
      <c r="B653">
        <v>106</v>
      </c>
      <c r="C653" t="s">
        <v>4</v>
      </c>
      <c r="D653" t="s">
        <v>6</v>
      </c>
      <c r="E653" t="s">
        <v>45</v>
      </c>
      <c r="F653">
        <v>0</v>
      </c>
      <c r="G653">
        <v>0</v>
      </c>
      <c r="H653">
        <v>0</v>
      </c>
      <c r="I653">
        <v>1</v>
      </c>
      <c r="J653">
        <v>1</v>
      </c>
      <c r="K653">
        <v>0.1</v>
      </c>
    </row>
    <row r="654" spans="1:11" x14ac:dyDescent="0.2">
      <c r="A654" t="s">
        <v>126</v>
      </c>
      <c r="B654">
        <v>106</v>
      </c>
      <c r="C654" t="s">
        <v>4</v>
      </c>
      <c r="D654" t="s">
        <v>6</v>
      </c>
      <c r="E654" t="s">
        <v>10</v>
      </c>
      <c r="F654">
        <v>0</v>
      </c>
      <c r="G654">
        <v>1</v>
      </c>
      <c r="H654">
        <v>0</v>
      </c>
      <c r="I654">
        <v>0</v>
      </c>
      <c r="J654">
        <v>1</v>
      </c>
      <c r="K654">
        <v>0.75</v>
      </c>
    </row>
    <row r="655" spans="1:11" x14ac:dyDescent="0.2">
      <c r="A655" t="s">
        <v>126</v>
      </c>
      <c r="B655">
        <v>106</v>
      </c>
      <c r="C655" t="s">
        <v>1</v>
      </c>
      <c r="D655" t="s">
        <v>33</v>
      </c>
      <c r="E655" t="s">
        <v>45</v>
      </c>
      <c r="F655">
        <v>0</v>
      </c>
      <c r="G655">
        <v>0</v>
      </c>
      <c r="H655">
        <v>0</v>
      </c>
      <c r="I655">
        <v>1</v>
      </c>
      <c r="J655">
        <v>1</v>
      </c>
      <c r="K655">
        <v>0.1</v>
      </c>
    </row>
    <row r="656" spans="1:11" x14ac:dyDescent="0.2">
      <c r="A656" t="s">
        <v>126</v>
      </c>
      <c r="B656">
        <v>106</v>
      </c>
      <c r="C656" t="s">
        <v>15</v>
      </c>
      <c r="D656" t="s">
        <v>2</v>
      </c>
      <c r="E656" t="s">
        <v>46</v>
      </c>
      <c r="F656">
        <v>0</v>
      </c>
      <c r="G656">
        <v>0</v>
      </c>
      <c r="H656">
        <v>0</v>
      </c>
      <c r="I656">
        <v>1</v>
      </c>
      <c r="J656">
        <v>1</v>
      </c>
      <c r="K656">
        <v>0.1</v>
      </c>
    </row>
    <row r="657" spans="1:11" x14ac:dyDescent="0.2">
      <c r="A657" t="s">
        <v>126</v>
      </c>
      <c r="B657">
        <v>106</v>
      </c>
      <c r="C657" t="s">
        <v>23</v>
      </c>
      <c r="D657" t="s">
        <v>33</v>
      </c>
      <c r="E657" t="s">
        <v>40</v>
      </c>
      <c r="F657">
        <v>0</v>
      </c>
      <c r="G657">
        <v>0</v>
      </c>
      <c r="H657">
        <v>1</v>
      </c>
      <c r="I657">
        <v>0</v>
      </c>
      <c r="J657">
        <v>1</v>
      </c>
      <c r="K657">
        <v>0.5</v>
      </c>
    </row>
    <row r="658" spans="1:11" x14ac:dyDescent="0.2">
      <c r="A658" t="s">
        <v>126</v>
      </c>
      <c r="B658">
        <v>106</v>
      </c>
      <c r="C658" t="s">
        <v>23</v>
      </c>
      <c r="D658" t="s">
        <v>2</v>
      </c>
      <c r="E658" t="s">
        <v>10</v>
      </c>
      <c r="F658">
        <v>0</v>
      </c>
      <c r="G658">
        <v>1</v>
      </c>
      <c r="H658">
        <v>0</v>
      </c>
      <c r="I658">
        <v>0</v>
      </c>
      <c r="J658">
        <v>1</v>
      </c>
      <c r="K658">
        <v>0.75</v>
      </c>
    </row>
    <row r="659" spans="1:11" x14ac:dyDescent="0.2">
      <c r="A659" t="s">
        <v>126</v>
      </c>
      <c r="B659">
        <v>106</v>
      </c>
      <c r="C659" t="s">
        <v>23</v>
      </c>
      <c r="D659" t="s">
        <v>6</v>
      </c>
      <c r="E659" t="s">
        <v>25</v>
      </c>
      <c r="F659">
        <v>0</v>
      </c>
      <c r="G659">
        <v>1</v>
      </c>
      <c r="H659">
        <v>0</v>
      </c>
      <c r="I659">
        <v>0</v>
      </c>
      <c r="J659">
        <v>1</v>
      </c>
      <c r="K659">
        <v>0.75</v>
      </c>
    </row>
    <row r="660" spans="1:11" x14ac:dyDescent="0.2">
      <c r="A660" t="s">
        <v>126</v>
      </c>
      <c r="B660">
        <v>108</v>
      </c>
      <c r="C660" t="s">
        <v>4</v>
      </c>
      <c r="D660" t="s">
        <v>6</v>
      </c>
      <c r="E660" t="s">
        <v>10</v>
      </c>
      <c r="F660">
        <v>0</v>
      </c>
      <c r="G660">
        <v>1</v>
      </c>
      <c r="H660">
        <v>1</v>
      </c>
      <c r="I660">
        <v>1</v>
      </c>
      <c r="J660">
        <v>3</v>
      </c>
      <c r="K660">
        <v>1.35</v>
      </c>
    </row>
    <row r="661" spans="1:11" x14ac:dyDescent="0.2">
      <c r="A661" t="s">
        <v>126</v>
      </c>
      <c r="B661">
        <v>108</v>
      </c>
      <c r="C661" t="s">
        <v>23</v>
      </c>
      <c r="D661" t="s">
        <v>2</v>
      </c>
      <c r="E661" t="s">
        <v>10</v>
      </c>
      <c r="F661">
        <v>0</v>
      </c>
      <c r="G661">
        <v>1</v>
      </c>
      <c r="H661">
        <v>1</v>
      </c>
      <c r="I661">
        <v>1</v>
      </c>
      <c r="J661">
        <v>3</v>
      </c>
      <c r="K661">
        <v>1.35</v>
      </c>
    </row>
    <row r="662" spans="1:11" x14ac:dyDescent="0.2">
      <c r="A662" t="s">
        <v>126</v>
      </c>
      <c r="B662">
        <v>108</v>
      </c>
      <c r="C662" t="s">
        <v>23</v>
      </c>
      <c r="D662" t="s">
        <v>6</v>
      </c>
      <c r="E662" t="s">
        <v>25</v>
      </c>
      <c r="F662">
        <v>1</v>
      </c>
      <c r="G662">
        <v>0</v>
      </c>
      <c r="H662">
        <v>1</v>
      </c>
      <c r="I662">
        <v>1</v>
      </c>
      <c r="J662">
        <v>3</v>
      </c>
      <c r="K662">
        <v>1.6</v>
      </c>
    </row>
    <row r="663" spans="1:11" x14ac:dyDescent="0.2">
      <c r="A663" t="s">
        <v>126</v>
      </c>
      <c r="B663">
        <v>108</v>
      </c>
      <c r="C663" t="s">
        <v>23</v>
      </c>
      <c r="D663" t="s">
        <v>2</v>
      </c>
      <c r="E663" t="s">
        <v>61</v>
      </c>
      <c r="F663">
        <v>0</v>
      </c>
      <c r="G663">
        <v>0</v>
      </c>
      <c r="H663">
        <v>1</v>
      </c>
      <c r="I663">
        <v>0</v>
      </c>
      <c r="J663">
        <v>1</v>
      </c>
      <c r="K663">
        <v>0.5</v>
      </c>
    </row>
    <row r="664" spans="1:11" x14ac:dyDescent="0.2">
      <c r="A664" t="s">
        <v>126</v>
      </c>
      <c r="B664">
        <v>110</v>
      </c>
      <c r="C664" t="s">
        <v>4</v>
      </c>
      <c r="D664" t="s">
        <v>33</v>
      </c>
      <c r="E664" t="s">
        <v>36</v>
      </c>
      <c r="F664">
        <v>0</v>
      </c>
      <c r="G664">
        <v>1</v>
      </c>
      <c r="H664">
        <v>0</v>
      </c>
      <c r="I664">
        <v>0</v>
      </c>
      <c r="J664">
        <v>1</v>
      </c>
      <c r="K664">
        <v>0.75</v>
      </c>
    </row>
    <row r="665" spans="1:11" x14ac:dyDescent="0.2">
      <c r="A665" t="s">
        <v>126</v>
      </c>
      <c r="B665">
        <v>110</v>
      </c>
      <c r="C665" t="s">
        <v>4</v>
      </c>
      <c r="D665" t="s">
        <v>6</v>
      </c>
      <c r="E665" t="s">
        <v>45</v>
      </c>
      <c r="F665">
        <v>0</v>
      </c>
      <c r="G665">
        <v>0</v>
      </c>
      <c r="H665">
        <v>0</v>
      </c>
      <c r="I665">
        <v>3</v>
      </c>
      <c r="J665">
        <v>3</v>
      </c>
      <c r="K665">
        <v>0.3</v>
      </c>
    </row>
    <row r="666" spans="1:11" x14ac:dyDescent="0.2">
      <c r="A666" t="s">
        <v>126</v>
      </c>
      <c r="B666">
        <v>110</v>
      </c>
      <c r="C666" t="s">
        <v>4</v>
      </c>
      <c r="D666" t="s">
        <v>6</v>
      </c>
      <c r="E666" t="s">
        <v>10</v>
      </c>
      <c r="F666">
        <v>0</v>
      </c>
      <c r="G666">
        <v>0</v>
      </c>
      <c r="H666">
        <v>0</v>
      </c>
      <c r="I666">
        <v>2</v>
      </c>
      <c r="J666">
        <v>2</v>
      </c>
      <c r="K666">
        <v>0.2</v>
      </c>
    </row>
    <row r="667" spans="1:11" x14ac:dyDescent="0.2">
      <c r="A667" t="s">
        <v>126</v>
      </c>
      <c r="B667">
        <v>110</v>
      </c>
      <c r="C667" t="s">
        <v>4</v>
      </c>
      <c r="D667" t="s">
        <v>2</v>
      </c>
      <c r="E667" t="s">
        <v>32</v>
      </c>
      <c r="F667">
        <v>0</v>
      </c>
      <c r="G667">
        <v>0</v>
      </c>
      <c r="H667">
        <v>3</v>
      </c>
      <c r="I667">
        <v>1</v>
      </c>
      <c r="J667">
        <v>4</v>
      </c>
      <c r="K667">
        <v>1.6</v>
      </c>
    </row>
    <row r="668" spans="1:11" x14ac:dyDescent="0.2">
      <c r="A668" t="s">
        <v>126</v>
      </c>
      <c r="B668">
        <v>110</v>
      </c>
      <c r="C668" t="s">
        <v>1</v>
      </c>
      <c r="D668" t="s">
        <v>33</v>
      </c>
      <c r="E668" t="s">
        <v>45</v>
      </c>
      <c r="F668">
        <v>0</v>
      </c>
      <c r="G668">
        <v>0</v>
      </c>
      <c r="H668">
        <v>0</v>
      </c>
      <c r="I668">
        <v>3</v>
      </c>
      <c r="J668">
        <v>3</v>
      </c>
      <c r="K668">
        <v>0.3</v>
      </c>
    </row>
    <row r="669" spans="1:11" x14ac:dyDescent="0.2">
      <c r="A669" t="s">
        <v>126</v>
      </c>
      <c r="B669">
        <v>110</v>
      </c>
      <c r="C669" t="s">
        <v>23</v>
      </c>
      <c r="D669" t="s">
        <v>33</v>
      </c>
      <c r="E669" t="s">
        <v>34</v>
      </c>
      <c r="F669">
        <v>0</v>
      </c>
      <c r="G669">
        <v>0</v>
      </c>
      <c r="H669">
        <v>3</v>
      </c>
      <c r="I669">
        <v>1</v>
      </c>
      <c r="J669">
        <v>4</v>
      </c>
      <c r="K669">
        <v>1.6</v>
      </c>
    </row>
    <row r="670" spans="1:11" x14ac:dyDescent="0.2">
      <c r="A670" t="s">
        <v>126</v>
      </c>
      <c r="B670">
        <v>110</v>
      </c>
      <c r="C670" t="s">
        <v>23</v>
      </c>
      <c r="D670" t="s">
        <v>2</v>
      </c>
      <c r="E670" t="s">
        <v>10</v>
      </c>
      <c r="F670">
        <v>0</v>
      </c>
      <c r="G670">
        <v>0</v>
      </c>
      <c r="H670">
        <v>0</v>
      </c>
      <c r="I670">
        <v>2</v>
      </c>
      <c r="J670">
        <v>2</v>
      </c>
      <c r="K670">
        <v>0.2</v>
      </c>
    </row>
    <row r="671" spans="1:11" x14ac:dyDescent="0.2">
      <c r="A671" t="s">
        <v>126</v>
      </c>
      <c r="B671">
        <v>110</v>
      </c>
      <c r="C671" t="s">
        <v>23</v>
      </c>
      <c r="D671" t="s">
        <v>6</v>
      </c>
      <c r="E671" t="s">
        <v>25</v>
      </c>
      <c r="F671">
        <v>0</v>
      </c>
      <c r="G671">
        <v>0</v>
      </c>
      <c r="H671">
        <v>0</v>
      </c>
      <c r="I671">
        <v>2</v>
      </c>
      <c r="J671">
        <v>2</v>
      </c>
      <c r="K671">
        <v>0.2</v>
      </c>
    </row>
    <row r="672" spans="1:11" x14ac:dyDescent="0.2">
      <c r="A672" t="s">
        <v>126</v>
      </c>
      <c r="B672">
        <v>111</v>
      </c>
      <c r="C672" t="s">
        <v>4</v>
      </c>
      <c r="D672" t="s">
        <v>33</v>
      </c>
      <c r="E672" t="s">
        <v>44</v>
      </c>
      <c r="F672">
        <v>0</v>
      </c>
      <c r="G672">
        <v>0</v>
      </c>
      <c r="H672">
        <v>1</v>
      </c>
      <c r="I672">
        <v>0</v>
      </c>
      <c r="J672">
        <v>1</v>
      </c>
      <c r="K672">
        <v>0.5</v>
      </c>
    </row>
    <row r="673" spans="1:11" x14ac:dyDescent="0.2">
      <c r="A673" t="s">
        <v>126</v>
      </c>
      <c r="B673">
        <v>111</v>
      </c>
      <c r="C673" t="s">
        <v>11</v>
      </c>
      <c r="D673" t="s">
        <v>2</v>
      </c>
      <c r="E673" t="s">
        <v>66</v>
      </c>
      <c r="F673">
        <v>0</v>
      </c>
      <c r="G673">
        <v>0</v>
      </c>
      <c r="H673">
        <v>5</v>
      </c>
      <c r="I673">
        <v>1</v>
      </c>
      <c r="J673">
        <v>6</v>
      </c>
      <c r="K673">
        <v>2.6</v>
      </c>
    </row>
    <row r="674" spans="1:11" x14ac:dyDescent="0.2">
      <c r="A674" t="s">
        <v>126</v>
      </c>
      <c r="B674">
        <v>111</v>
      </c>
      <c r="C674" t="s">
        <v>1</v>
      </c>
      <c r="D674" t="s">
        <v>6</v>
      </c>
      <c r="E674" t="s">
        <v>44</v>
      </c>
      <c r="F674">
        <v>0</v>
      </c>
      <c r="G674">
        <v>0</v>
      </c>
      <c r="H674">
        <v>1</v>
      </c>
      <c r="I674">
        <v>0</v>
      </c>
      <c r="J674">
        <v>1</v>
      </c>
      <c r="K674">
        <v>0.5</v>
      </c>
    </row>
    <row r="675" spans="1:11" x14ac:dyDescent="0.2">
      <c r="A675" t="s">
        <v>126</v>
      </c>
      <c r="B675">
        <v>111</v>
      </c>
      <c r="C675" t="s">
        <v>15</v>
      </c>
      <c r="D675" t="s">
        <v>2</v>
      </c>
      <c r="E675" t="s">
        <v>66</v>
      </c>
      <c r="F675">
        <v>0</v>
      </c>
      <c r="G675">
        <v>0</v>
      </c>
      <c r="H675">
        <v>5</v>
      </c>
      <c r="I675">
        <v>1</v>
      </c>
      <c r="J675">
        <v>6</v>
      </c>
      <c r="K675">
        <v>2.6</v>
      </c>
    </row>
    <row r="676" spans="1:11" x14ac:dyDescent="0.2">
      <c r="A676" t="s">
        <v>126</v>
      </c>
      <c r="B676">
        <v>111</v>
      </c>
      <c r="C676" t="s">
        <v>18</v>
      </c>
      <c r="D676" t="s">
        <v>2</v>
      </c>
      <c r="E676" t="s">
        <v>21</v>
      </c>
      <c r="F676">
        <v>0</v>
      </c>
      <c r="G676">
        <v>0</v>
      </c>
      <c r="H676">
        <v>0</v>
      </c>
      <c r="I676">
        <v>1</v>
      </c>
      <c r="J676">
        <v>1</v>
      </c>
      <c r="K676">
        <v>0.1</v>
      </c>
    </row>
    <row r="677" spans="1:11" x14ac:dyDescent="0.2">
      <c r="A677" t="s">
        <v>126</v>
      </c>
      <c r="B677">
        <v>111</v>
      </c>
      <c r="C677" t="s">
        <v>23</v>
      </c>
      <c r="D677" t="s">
        <v>33</v>
      </c>
      <c r="E677" t="s">
        <v>40</v>
      </c>
      <c r="F677">
        <v>0</v>
      </c>
      <c r="G677">
        <v>0</v>
      </c>
      <c r="H677">
        <v>2</v>
      </c>
      <c r="I677">
        <v>0</v>
      </c>
      <c r="J677">
        <v>2</v>
      </c>
      <c r="K677">
        <v>1.1000000000000001</v>
      </c>
    </row>
    <row r="678" spans="1:11" x14ac:dyDescent="0.2">
      <c r="A678" t="s">
        <v>126</v>
      </c>
      <c r="B678">
        <v>111</v>
      </c>
      <c r="C678" t="s">
        <v>23</v>
      </c>
      <c r="D678" t="s">
        <v>2</v>
      </c>
      <c r="E678" t="s">
        <v>35</v>
      </c>
      <c r="F678">
        <v>0</v>
      </c>
      <c r="G678">
        <v>0</v>
      </c>
      <c r="H678">
        <v>0</v>
      </c>
      <c r="I678">
        <v>1</v>
      </c>
      <c r="J678">
        <v>1</v>
      </c>
      <c r="K678">
        <v>0.1</v>
      </c>
    </row>
    <row r="679" spans="1:11" x14ac:dyDescent="0.2">
      <c r="A679" t="s">
        <v>126</v>
      </c>
      <c r="B679">
        <v>111</v>
      </c>
      <c r="C679" t="s">
        <v>23</v>
      </c>
      <c r="D679" t="s">
        <v>6</v>
      </c>
      <c r="E679" t="s">
        <v>44</v>
      </c>
      <c r="F679">
        <v>0</v>
      </c>
      <c r="G679">
        <v>0</v>
      </c>
      <c r="H679">
        <v>1</v>
      </c>
      <c r="I679">
        <v>0</v>
      </c>
      <c r="J679">
        <v>1</v>
      </c>
      <c r="K679">
        <v>0.5</v>
      </c>
    </row>
    <row r="680" spans="1:11" x14ac:dyDescent="0.2">
      <c r="A680" t="s">
        <v>126</v>
      </c>
      <c r="B680">
        <v>111</v>
      </c>
      <c r="C680" t="s">
        <v>27</v>
      </c>
      <c r="D680" t="s">
        <v>6</v>
      </c>
      <c r="E680" t="s">
        <v>55</v>
      </c>
      <c r="F680">
        <v>2</v>
      </c>
      <c r="G680">
        <v>0</v>
      </c>
      <c r="H680">
        <v>0</v>
      </c>
      <c r="I680">
        <v>0</v>
      </c>
      <c r="J680">
        <v>2</v>
      </c>
      <c r="K680">
        <v>2</v>
      </c>
    </row>
    <row r="681" spans="1:11" x14ac:dyDescent="0.2">
      <c r="A681" t="s">
        <v>126</v>
      </c>
      <c r="B681">
        <v>112</v>
      </c>
      <c r="C681" t="s">
        <v>4</v>
      </c>
      <c r="D681" t="s">
        <v>33</v>
      </c>
      <c r="E681" t="s">
        <v>36</v>
      </c>
      <c r="F681">
        <v>0</v>
      </c>
      <c r="G681">
        <v>1</v>
      </c>
      <c r="H681">
        <v>0</v>
      </c>
      <c r="I681">
        <v>0</v>
      </c>
      <c r="J681">
        <v>1</v>
      </c>
      <c r="K681">
        <v>0.75</v>
      </c>
    </row>
    <row r="682" spans="1:11" x14ac:dyDescent="0.2">
      <c r="A682" t="s">
        <v>126</v>
      </c>
      <c r="B682">
        <v>112</v>
      </c>
      <c r="C682" t="s">
        <v>4</v>
      </c>
      <c r="D682" t="s">
        <v>6</v>
      </c>
      <c r="E682" t="s">
        <v>45</v>
      </c>
      <c r="F682">
        <v>0</v>
      </c>
      <c r="G682">
        <v>0</v>
      </c>
      <c r="H682">
        <v>0</v>
      </c>
      <c r="I682">
        <v>1</v>
      </c>
      <c r="J682">
        <v>1</v>
      </c>
      <c r="K682">
        <v>0.1</v>
      </c>
    </row>
    <row r="683" spans="1:11" x14ac:dyDescent="0.2">
      <c r="A683" t="s">
        <v>126</v>
      </c>
      <c r="B683">
        <v>112</v>
      </c>
      <c r="C683" t="s">
        <v>4</v>
      </c>
      <c r="D683" t="s">
        <v>2</v>
      </c>
      <c r="E683" t="s">
        <v>32</v>
      </c>
      <c r="F683">
        <v>0</v>
      </c>
      <c r="G683">
        <v>1</v>
      </c>
      <c r="H683">
        <v>0</v>
      </c>
      <c r="I683">
        <v>0</v>
      </c>
      <c r="J683">
        <v>1</v>
      </c>
      <c r="K683">
        <v>0.75</v>
      </c>
    </row>
    <row r="684" spans="1:11" x14ac:dyDescent="0.2">
      <c r="A684" t="s">
        <v>126</v>
      </c>
      <c r="B684">
        <v>112</v>
      </c>
      <c r="C684" t="s">
        <v>1</v>
      </c>
      <c r="D684" t="s">
        <v>33</v>
      </c>
      <c r="E684" t="s">
        <v>45</v>
      </c>
      <c r="F684">
        <v>0</v>
      </c>
      <c r="G684">
        <v>0</v>
      </c>
      <c r="H684">
        <v>0</v>
      </c>
      <c r="I684">
        <v>1</v>
      </c>
      <c r="J684">
        <v>1</v>
      </c>
      <c r="K684">
        <v>0.1</v>
      </c>
    </row>
    <row r="685" spans="1:11" x14ac:dyDescent="0.2">
      <c r="A685" t="s">
        <v>126</v>
      </c>
      <c r="B685">
        <v>112</v>
      </c>
      <c r="C685" t="s">
        <v>23</v>
      </c>
      <c r="D685" t="s">
        <v>33</v>
      </c>
      <c r="E685" t="s">
        <v>34</v>
      </c>
      <c r="F685">
        <v>0</v>
      </c>
      <c r="G685">
        <v>1</v>
      </c>
      <c r="H685">
        <v>0</v>
      </c>
      <c r="I685">
        <v>0</v>
      </c>
      <c r="J685">
        <v>1</v>
      </c>
      <c r="K685">
        <v>0.75</v>
      </c>
    </row>
    <row r="686" spans="1:11" x14ac:dyDescent="0.2">
      <c r="A686" t="s">
        <v>126</v>
      </c>
      <c r="B686">
        <v>113</v>
      </c>
      <c r="C686" t="s">
        <v>4</v>
      </c>
      <c r="D686" t="s">
        <v>2</v>
      </c>
      <c r="E686" t="s">
        <v>5</v>
      </c>
      <c r="F686">
        <v>0</v>
      </c>
      <c r="G686">
        <v>0</v>
      </c>
      <c r="H686">
        <v>1</v>
      </c>
      <c r="I686">
        <v>0</v>
      </c>
      <c r="J686">
        <v>1</v>
      </c>
      <c r="K686">
        <v>0.5</v>
      </c>
    </row>
    <row r="687" spans="1:11" x14ac:dyDescent="0.2">
      <c r="A687" t="s">
        <v>126</v>
      </c>
      <c r="B687">
        <v>113</v>
      </c>
      <c r="C687" t="s">
        <v>4</v>
      </c>
      <c r="D687" t="s">
        <v>6</v>
      </c>
      <c r="E687" t="s">
        <v>5</v>
      </c>
      <c r="F687">
        <v>0</v>
      </c>
      <c r="G687">
        <v>0</v>
      </c>
      <c r="H687">
        <v>1</v>
      </c>
      <c r="I687">
        <v>0</v>
      </c>
      <c r="J687">
        <v>1</v>
      </c>
      <c r="K687">
        <v>0.5</v>
      </c>
    </row>
    <row r="688" spans="1:11" x14ac:dyDescent="0.2">
      <c r="A688" t="s">
        <v>126</v>
      </c>
      <c r="B688">
        <v>113</v>
      </c>
      <c r="C688" t="s">
        <v>4</v>
      </c>
      <c r="D688" t="s">
        <v>6</v>
      </c>
      <c r="E688" t="s">
        <v>10</v>
      </c>
      <c r="F688">
        <v>0</v>
      </c>
      <c r="G688">
        <v>0</v>
      </c>
      <c r="H688">
        <v>1</v>
      </c>
      <c r="I688">
        <v>0</v>
      </c>
      <c r="J688">
        <v>1</v>
      </c>
      <c r="K688">
        <v>0.5</v>
      </c>
    </row>
    <row r="689" spans="1:11" x14ac:dyDescent="0.2">
      <c r="A689" t="s">
        <v>126</v>
      </c>
      <c r="B689">
        <v>113</v>
      </c>
      <c r="C689" t="s">
        <v>15</v>
      </c>
      <c r="D689" t="s">
        <v>2</v>
      </c>
      <c r="E689" t="s">
        <v>16</v>
      </c>
      <c r="F689">
        <v>1</v>
      </c>
      <c r="G689">
        <v>0</v>
      </c>
      <c r="H689">
        <v>0</v>
      </c>
      <c r="I689">
        <v>0</v>
      </c>
      <c r="J689">
        <v>1</v>
      </c>
      <c r="K689">
        <v>1</v>
      </c>
    </row>
    <row r="690" spans="1:11" x14ac:dyDescent="0.2">
      <c r="A690" t="s">
        <v>126</v>
      </c>
      <c r="B690">
        <v>113</v>
      </c>
      <c r="C690" t="s">
        <v>18</v>
      </c>
      <c r="D690" t="s">
        <v>6</v>
      </c>
      <c r="E690" t="s">
        <v>19</v>
      </c>
      <c r="F690">
        <v>0</v>
      </c>
      <c r="G690">
        <v>1</v>
      </c>
      <c r="H690">
        <v>0</v>
      </c>
      <c r="I690">
        <v>0</v>
      </c>
      <c r="J690">
        <v>1</v>
      </c>
      <c r="K690">
        <v>0.75</v>
      </c>
    </row>
    <row r="691" spans="1:11" x14ac:dyDescent="0.2">
      <c r="A691" t="s">
        <v>126</v>
      </c>
      <c r="B691">
        <v>113</v>
      </c>
      <c r="C691" t="s">
        <v>23</v>
      </c>
      <c r="D691" t="s">
        <v>2</v>
      </c>
      <c r="E691" t="s">
        <v>10</v>
      </c>
      <c r="F691">
        <v>0</v>
      </c>
      <c r="G691">
        <v>0</v>
      </c>
      <c r="H691">
        <v>1</v>
      </c>
      <c r="I691">
        <v>0</v>
      </c>
      <c r="J691">
        <v>1</v>
      </c>
      <c r="K691">
        <v>0.5</v>
      </c>
    </row>
    <row r="692" spans="1:11" x14ac:dyDescent="0.2">
      <c r="A692" t="s">
        <v>126</v>
      </c>
      <c r="B692">
        <v>113</v>
      </c>
      <c r="C692" t="s">
        <v>23</v>
      </c>
      <c r="D692" t="s">
        <v>6</v>
      </c>
      <c r="E692" t="s">
        <v>25</v>
      </c>
      <c r="F692">
        <v>0</v>
      </c>
      <c r="G692">
        <v>0</v>
      </c>
      <c r="H692">
        <v>1</v>
      </c>
      <c r="I692">
        <v>0</v>
      </c>
      <c r="J692">
        <v>1</v>
      </c>
      <c r="K692">
        <v>0.5</v>
      </c>
    </row>
    <row r="693" spans="1:11" x14ac:dyDescent="0.2">
      <c r="A693" t="s">
        <v>126</v>
      </c>
      <c r="B693">
        <v>113</v>
      </c>
      <c r="C693" t="s">
        <v>23</v>
      </c>
      <c r="D693" t="s">
        <v>2</v>
      </c>
      <c r="E693" t="s">
        <v>61</v>
      </c>
      <c r="F693">
        <v>0</v>
      </c>
      <c r="G693">
        <v>0</v>
      </c>
      <c r="H693">
        <v>1</v>
      </c>
      <c r="I693">
        <v>0</v>
      </c>
      <c r="J693">
        <v>1</v>
      </c>
      <c r="K693">
        <v>0.5</v>
      </c>
    </row>
    <row r="694" spans="1:11" x14ac:dyDescent="0.2">
      <c r="A694" t="s">
        <v>126</v>
      </c>
      <c r="B694">
        <v>113</v>
      </c>
      <c r="C694" t="s">
        <v>27</v>
      </c>
      <c r="D694" t="s">
        <v>2</v>
      </c>
      <c r="E694" t="s">
        <v>5</v>
      </c>
      <c r="F694">
        <v>0</v>
      </c>
      <c r="G694">
        <v>0</v>
      </c>
      <c r="H694">
        <v>1</v>
      </c>
      <c r="I694">
        <v>0</v>
      </c>
      <c r="J694">
        <v>1</v>
      </c>
      <c r="K694">
        <v>0.5</v>
      </c>
    </row>
    <row r="695" spans="1:11" x14ac:dyDescent="0.2">
      <c r="A695" t="s">
        <v>126</v>
      </c>
      <c r="B695">
        <v>114</v>
      </c>
      <c r="C695" t="s">
        <v>4</v>
      </c>
      <c r="D695" t="s">
        <v>6</v>
      </c>
      <c r="E695" t="s">
        <v>10</v>
      </c>
      <c r="F695">
        <v>0</v>
      </c>
      <c r="G695">
        <v>0</v>
      </c>
      <c r="H695">
        <v>1</v>
      </c>
      <c r="I695">
        <v>0</v>
      </c>
      <c r="J695">
        <v>1</v>
      </c>
      <c r="K695">
        <v>0.5</v>
      </c>
    </row>
    <row r="696" spans="1:11" x14ac:dyDescent="0.2">
      <c r="A696" t="s">
        <v>126</v>
      </c>
      <c r="B696">
        <v>114</v>
      </c>
      <c r="C696" t="s">
        <v>15</v>
      </c>
      <c r="D696" t="s">
        <v>2</v>
      </c>
      <c r="E696" t="s">
        <v>16</v>
      </c>
      <c r="F696">
        <v>0</v>
      </c>
      <c r="G696">
        <v>0</v>
      </c>
      <c r="H696">
        <v>0</v>
      </c>
      <c r="I696">
        <v>1</v>
      </c>
      <c r="J696">
        <v>1</v>
      </c>
      <c r="K696">
        <v>0.1</v>
      </c>
    </row>
    <row r="697" spans="1:11" x14ac:dyDescent="0.2">
      <c r="A697" t="s">
        <v>126</v>
      </c>
      <c r="B697">
        <v>114</v>
      </c>
      <c r="C697" t="s">
        <v>23</v>
      </c>
      <c r="D697" t="s">
        <v>2</v>
      </c>
      <c r="E697" t="s">
        <v>10</v>
      </c>
      <c r="F697">
        <v>0</v>
      </c>
      <c r="G697">
        <v>0</v>
      </c>
      <c r="H697">
        <v>1</v>
      </c>
      <c r="I697">
        <v>0</v>
      </c>
      <c r="J697">
        <v>1</v>
      </c>
      <c r="K697">
        <v>0.5</v>
      </c>
    </row>
    <row r="698" spans="1:11" x14ac:dyDescent="0.2">
      <c r="A698" t="s">
        <v>126</v>
      </c>
      <c r="B698">
        <v>114</v>
      </c>
      <c r="C698" t="s">
        <v>23</v>
      </c>
      <c r="D698" t="s">
        <v>6</v>
      </c>
      <c r="E698" t="s">
        <v>25</v>
      </c>
      <c r="F698">
        <v>0</v>
      </c>
      <c r="G698">
        <v>0</v>
      </c>
      <c r="H698">
        <v>1</v>
      </c>
      <c r="I698">
        <v>0</v>
      </c>
      <c r="J698">
        <v>1</v>
      </c>
      <c r="K698">
        <v>0.5</v>
      </c>
    </row>
    <row r="699" spans="1:11" x14ac:dyDescent="0.2">
      <c r="A699" t="s">
        <v>126</v>
      </c>
      <c r="B699">
        <v>115</v>
      </c>
      <c r="C699" t="s">
        <v>4</v>
      </c>
      <c r="D699" t="s">
        <v>2</v>
      </c>
      <c r="E699" t="s">
        <v>48</v>
      </c>
      <c r="F699">
        <v>1</v>
      </c>
      <c r="G699">
        <v>0</v>
      </c>
      <c r="H699">
        <v>1</v>
      </c>
      <c r="I699">
        <v>0</v>
      </c>
      <c r="J699">
        <v>2</v>
      </c>
      <c r="K699">
        <v>1.5</v>
      </c>
    </row>
    <row r="700" spans="1:11" x14ac:dyDescent="0.2">
      <c r="A700" t="s">
        <v>126</v>
      </c>
      <c r="B700">
        <v>115</v>
      </c>
      <c r="C700" t="s">
        <v>11</v>
      </c>
      <c r="D700" t="s">
        <v>2</v>
      </c>
      <c r="E700" t="s">
        <v>66</v>
      </c>
      <c r="F700">
        <v>0</v>
      </c>
      <c r="G700">
        <v>0</v>
      </c>
      <c r="H700">
        <v>0</v>
      </c>
      <c r="I700">
        <v>1</v>
      </c>
      <c r="J700">
        <v>1</v>
      </c>
      <c r="K700">
        <v>0.1</v>
      </c>
    </row>
    <row r="701" spans="1:11" x14ac:dyDescent="0.2">
      <c r="A701" t="s">
        <v>126</v>
      </c>
      <c r="B701">
        <v>115</v>
      </c>
      <c r="C701" t="s">
        <v>1</v>
      </c>
      <c r="D701" t="s">
        <v>2</v>
      </c>
      <c r="E701" t="s">
        <v>94</v>
      </c>
      <c r="F701">
        <v>0</v>
      </c>
      <c r="G701">
        <v>0</v>
      </c>
      <c r="H701">
        <v>3</v>
      </c>
      <c r="I701">
        <v>0</v>
      </c>
      <c r="J701">
        <v>3</v>
      </c>
      <c r="K701">
        <v>1.5</v>
      </c>
    </row>
    <row r="702" spans="1:11" x14ac:dyDescent="0.2">
      <c r="A702" t="s">
        <v>126</v>
      </c>
      <c r="B702">
        <v>115</v>
      </c>
      <c r="C702" t="s">
        <v>1</v>
      </c>
      <c r="D702" t="s">
        <v>2</v>
      </c>
      <c r="E702" t="s">
        <v>48</v>
      </c>
      <c r="F702">
        <v>1</v>
      </c>
      <c r="G702">
        <v>0</v>
      </c>
      <c r="H702">
        <v>1</v>
      </c>
      <c r="I702">
        <v>0</v>
      </c>
      <c r="J702">
        <v>2</v>
      </c>
      <c r="K702">
        <v>1.5</v>
      </c>
    </row>
    <row r="703" spans="1:11" x14ac:dyDescent="0.2">
      <c r="A703" t="s">
        <v>126</v>
      </c>
      <c r="B703">
        <v>115</v>
      </c>
      <c r="C703" t="s">
        <v>15</v>
      </c>
      <c r="D703" t="s">
        <v>2</v>
      </c>
      <c r="E703" t="s">
        <v>16</v>
      </c>
      <c r="F703">
        <v>0</v>
      </c>
      <c r="G703">
        <v>0</v>
      </c>
      <c r="H703">
        <v>0</v>
      </c>
      <c r="I703">
        <v>3</v>
      </c>
      <c r="J703">
        <v>3</v>
      </c>
      <c r="K703">
        <v>0.3</v>
      </c>
    </row>
    <row r="704" spans="1:11" x14ac:dyDescent="0.2">
      <c r="A704" t="s">
        <v>126</v>
      </c>
      <c r="B704">
        <v>115</v>
      </c>
      <c r="C704" t="s">
        <v>15</v>
      </c>
      <c r="D704" t="s">
        <v>2</v>
      </c>
      <c r="E704" t="s">
        <v>66</v>
      </c>
      <c r="F704">
        <v>0</v>
      </c>
      <c r="G704">
        <v>0</v>
      </c>
      <c r="H704">
        <v>0</v>
      </c>
      <c r="I704">
        <v>1</v>
      </c>
      <c r="J704">
        <v>1</v>
      </c>
      <c r="K704">
        <v>0.1</v>
      </c>
    </row>
    <row r="705" spans="1:11" x14ac:dyDescent="0.2">
      <c r="A705" t="s">
        <v>126</v>
      </c>
      <c r="B705">
        <v>115</v>
      </c>
      <c r="C705" t="s">
        <v>15</v>
      </c>
      <c r="D705" t="s">
        <v>6</v>
      </c>
      <c r="E705" t="s">
        <v>94</v>
      </c>
      <c r="F705">
        <v>0</v>
      </c>
      <c r="G705">
        <v>0</v>
      </c>
      <c r="H705">
        <v>3</v>
      </c>
      <c r="I705">
        <v>0</v>
      </c>
      <c r="J705">
        <v>3</v>
      </c>
      <c r="K705">
        <v>1.5</v>
      </c>
    </row>
    <row r="706" spans="1:11" x14ac:dyDescent="0.2">
      <c r="A706" t="s">
        <v>126</v>
      </c>
      <c r="B706">
        <v>115</v>
      </c>
      <c r="C706" t="s">
        <v>15</v>
      </c>
      <c r="D706" t="s">
        <v>2</v>
      </c>
      <c r="E706" t="s">
        <v>48</v>
      </c>
      <c r="F706">
        <v>1</v>
      </c>
      <c r="G706">
        <v>0</v>
      </c>
      <c r="H706">
        <v>1</v>
      </c>
      <c r="I706">
        <v>0</v>
      </c>
      <c r="J706">
        <v>2</v>
      </c>
      <c r="K706">
        <v>1.5</v>
      </c>
    </row>
    <row r="707" spans="1:11" x14ac:dyDescent="0.2">
      <c r="A707" t="s">
        <v>126</v>
      </c>
      <c r="B707">
        <v>115</v>
      </c>
      <c r="C707" t="s">
        <v>18</v>
      </c>
      <c r="D707" t="s">
        <v>6</v>
      </c>
      <c r="E707" t="s">
        <v>19</v>
      </c>
      <c r="F707">
        <v>0</v>
      </c>
      <c r="G707">
        <v>0</v>
      </c>
      <c r="H707">
        <v>1</v>
      </c>
      <c r="I707">
        <v>2</v>
      </c>
      <c r="J707">
        <v>3</v>
      </c>
      <c r="K707">
        <v>0.7</v>
      </c>
    </row>
    <row r="708" spans="1:11" x14ac:dyDescent="0.2">
      <c r="A708" t="s">
        <v>126</v>
      </c>
      <c r="B708">
        <v>115</v>
      </c>
      <c r="C708" t="s">
        <v>18</v>
      </c>
      <c r="D708" t="s">
        <v>2</v>
      </c>
      <c r="E708" t="s">
        <v>21</v>
      </c>
      <c r="F708">
        <v>0</v>
      </c>
      <c r="G708">
        <v>0</v>
      </c>
      <c r="H708">
        <v>0</v>
      </c>
      <c r="I708">
        <v>2</v>
      </c>
      <c r="J708">
        <v>2</v>
      </c>
      <c r="K708">
        <v>0.2</v>
      </c>
    </row>
    <row r="709" spans="1:11" x14ac:dyDescent="0.2">
      <c r="A709" t="s">
        <v>126</v>
      </c>
      <c r="B709">
        <v>115</v>
      </c>
      <c r="C709" t="s">
        <v>18</v>
      </c>
      <c r="D709" t="s">
        <v>2</v>
      </c>
      <c r="E709" t="s">
        <v>54</v>
      </c>
      <c r="F709">
        <v>0</v>
      </c>
      <c r="G709">
        <v>0</v>
      </c>
      <c r="H709">
        <v>0</v>
      </c>
      <c r="I709">
        <v>3</v>
      </c>
      <c r="J709">
        <v>3</v>
      </c>
      <c r="K709">
        <v>0.3</v>
      </c>
    </row>
    <row r="710" spans="1:11" x14ac:dyDescent="0.2">
      <c r="A710" t="s">
        <v>126</v>
      </c>
      <c r="B710">
        <v>115</v>
      </c>
      <c r="C710" t="s">
        <v>23</v>
      </c>
      <c r="D710" t="s">
        <v>2</v>
      </c>
      <c r="E710" t="s">
        <v>48</v>
      </c>
      <c r="F710">
        <v>1</v>
      </c>
      <c r="G710">
        <v>0</v>
      </c>
      <c r="H710">
        <v>1</v>
      </c>
      <c r="I710">
        <v>0</v>
      </c>
      <c r="J710">
        <v>2</v>
      </c>
      <c r="K710">
        <v>1.5</v>
      </c>
    </row>
    <row r="711" spans="1:11" x14ac:dyDescent="0.2">
      <c r="A711" t="s">
        <v>126</v>
      </c>
      <c r="B711">
        <v>115</v>
      </c>
      <c r="C711" t="s">
        <v>23</v>
      </c>
      <c r="D711" t="s">
        <v>33</v>
      </c>
      <c r="E711" t="s">
        <v>40</v>
      </c>
      <c r="F711">
        <v>0</v>
      </c>
      <c r="G711">
        <v>0</v>
      </c>
      <c r="H711">
        <v>2</v>
      </c>
      <c r="I711">
        <v>0</v>
      </c>
      <c r="J711">
        <v>2</v>
      </c>
      <c r="K711">
        <v>1</v>
      </c>
    </row>
    <row r="712" spans="1:11" x14ac:dyDescent="0.2">
      <c r="A712" t="s">
        <v>126</v>
      </c>
      <c r="B712">
        <v>116</v>
      </c>
      <c r="C712" t="s">
        <v>18</v>
      </c>
      <c r="D712" t="s">
        <v>2</v>
      </c>
      <c r="E712" t="s">
        <v>54</v>
      </c>
      <c r="F712">
        <v>0</v>
      </c>
      <c r="G712">
        <v>0</v>
      </c>
      <c r="H712">
        <v>0</v>
      </c>
      <c r="I712">
        <v>2</v>
      </c>
      <c r="J712">
        <v>2</v>
      </c>
      <c r="K712">
        <v>0.2</v>
      </c>
    </row>
    <row r="713" spans="1:11" x14ac:dyDescent="0.2">
      <c r="A713" t="s">
        <v>126</v>
      </c>
      <c r="B713">
        <v>116</v>
      </c>
      <c r="C713" t="s">
        <v>23</v>
      </c>
      <c r="D713" t="s">
        <v>6</v>
      </c>
      <c r="E713" t="s">
        <v>24</v>
      </c>
      <c r="F713">
        <v>0</v>
      </c>
      <c r="G713">
        <v>0</v>
      </c>
      <c r="H713">
        <v>1</v>
      </c>
      <c r="I713">
        <v>0</v>
      </c>
      <c r="J713">
        <v>1</v>
      </c>
      <c r="K713">
        <v>0.5</v>
      </c>
    </row>
    <row r="714" spans="1:11" x14ac:dyDescent="0.2">
      <c r="A714" t="s">
        <v>126</v>
      </c>
      <c r="B714">
        <v>116</v>
      </c>
      <c r="C714" t="s">
        <v>23</v>
      </c>
      <c r="D714" t="s">
        <v>2</v>
      </c>
      <c r="E714" t="s">
        <v>58</v>
      </c>
      <c r="F714">
        <v>0</v>
      </c>
      <c r="G714">
        <v>0</v>
      </c>
      <c r="H714">
        <v>1</v>
      </c>
      <c r="I714">
        <v>0</v>
      </c>
      <c r="J714">
        <v>1</v>
      </c>
      <c r="K714">
        <v>0.5</v>
      </c>
    </row>
    <row r="715" spans="1:11" x14ac:dyDescent="0.2">
      <c r="A715" t="s">
        <v>126</v>
      </c>
      <c r="B715">
        <v>116</v>
      </c>
      <c r="C715" t="s">
        <v>27</v>
      </c>
      <c r="D715" t="s">
        <v>2</v>
      </c>
      <c r="E715" t="s">
        <v>42</v>
      </c>
      <c r="F715">
        <v>0</v>
      </c>
      <c r="G715">
        <v>0</v>
      </c>
      <c r="H715">
        <v>1</v>
      </c>
      <c r="I715">
        <v>0</v>
      </c>
      <c r="J715">
        <v>1</v>
      </c>
      <c r="K715">
        <v>0.5</v>
      </c>
    </row>
    <row r="716" spans="1:11" x14ac:dyDescent="0.2">
      <c r="A716" t="s">
        <v>126</v>
      </c>
      <c r="B716">
        <v>117</v>
      </c>
      <c r="C716" t="s">
        <v>4</v>
      </c>
      <c r="D716" t="s">
        <v>6</v>
      </c>
      <c r="E716" t="s">
        <v>45</v>
      </c>
      <c r="F716">
        <v>0</v>
      </c>
      <c r="G716">
        <v>2</v>
      </c>
      <c r="H716">
        <v>0</v>
      </c>
      <c r="I716">
        <v>1</v>
      </c>
      <c r="J716">
        <v>3</v>
      </c>
      <c r="K716">
        <v>1.6</v>
      </c>
    </row>
    <row r="717" spans="1:11" x14ac:dyDescent="0.2">
      <c r="A717" t="s">
        <v>126</v>
      </c>
      <c r="B717">
        <v>117</v>
      </c>
      <c r="C717" t="s">
        <v>1</v>
      </c>
      <c r="D717" t="s">
        <v>33</v>
      </c>
      <c r="E717" t="s">
        <v>45</v>
      </c>
      <c r="F717">
        <v>0</v>
      </c>
      <c r="G717">
        <v>2</v>
      </c>
      <c r="H717">
        <v>0</v>
      </c>
      <c r="I717">
        <v>1</v>
      </c>
      <c r="J717">
        <v>3</v>
      </c>
      <c r="K717">
        <v>1.6</v>
      </c>
    </row>
    <row r="718" spans="1:11" x14ac:dyDescent="0.2">
      <c r="A718" t="s">
        <v>126</v>
      </c>
      <c r="B718">
        <v>117</v>
      </c>
      <c r="C718" t="s">
        <v>15</v>
      </c>
      <c r="D718" t="s">
        <v>2</v>
      </c>
      <c r="E718" t="s">
        <v>16</v>
      </c>
      <c r="F718">
        <v>0</v>
      </c>
      <c r="G718">
        <v>0</v>
      </c>
      <c r="H718">
        <v>0</v>
      </c>
      <c r="I718">
        <v>1</v>
      </c>
      <c r="J718">
        <v>1</v>
      </c>
      <c r="K718">
        <v>0.1</v>
      </c>
    </row>
    <row r="719" spans="1:11" x14ac:dyDescent="0.2">
      <c r="A719" t="s">
        <v>126</v>
      </c>
      <c r="B719">
        <v>117</v>
      </c>
      <c r="C719" t="s">
        <v>18</v>
      </c>
      <c r="D719" t="s">
        <v>2</v>
      </c>
      <c r="E719" t="s">
        <v>21</v>
      </c>
      <c r="F719">
        <v>0</v>
      </c>
      <c r="G719">
        <v>0</v>
      </c>
      <c r="H719">
        <v>0</v>
      </c>
      <c r="I719">
        <v>1</v>
      </c>
      <c r="J719">
        <v>1</v>
      </c>
      <c r="K719">
        <v>0.1</v>
      </c>
    </row>
    <row r="720" spans="1:11" x14ac:dyDescent="0.2">
      <c r="A720" t="s">
        <v>126</v>
      </c>
      <c r="B720">
        <v>117</v>
      </c>
      <c r="C720" t="s">
        <v>18</v>
      </c>
      <c r="D720" t="s">
        <v>2</v>
      </c>
      <c r="E720" t="s">
        <v>54</v>
      </c>
      <c r="F720">
        <v>0</v>
      </c>
      <c r="G720">
        <v>0</v>
      </c>
      <c r="H720">
        <v>0</v>
      </c>
      <c r="I720">
        <v>1</v>
      </c>
      <c r="J720">
        <v>1</v>
      </c>
      <c r="K720">
        <v>0.1</v>
      </c>
    </row>
    <row r="721" spans="1:11" x14ac:dyDescent="0.2">
      <c r="A721" t="s">
        <v>126</v>
      </c>
      <c r="B721">
        <v>117</v>
      </c>
      <c r="C721" t="s">
        <v>23</v>
      </c>
      <c r="D721" t="s">
        <v>2</v>
      </c>
      <c r="E721" t="s">
        <v>58</v>
      </c>
      <c r="F721">
        <v>0</v>
      </c>
      <c r="G721">
        <v>0</v>
      </c>
      <c r="H721">
        <v>0</v>
      </c>
      <c r="I721">
        <v>1</v>
      </c>
      <c r="J721">
        <v>1</v>
      </c>
      <c r="K721">
        <v>0.1</v>
      </c>
    </row>
    <row r="722" spans="1:11" x14ac:dyDescent="0.2">
      <c r="A722" t="s">
        <v>126</v>
      </c>
      <c r="B722">
        <v>120</v>
      </c>
      <c r="C722" t="s">
        <v>4</v>
      </c>
      <c r="D722" t="s">
        <v>2</v>
      </c>
      <c r="E722" t="s">
        <v>32</v>
      </c>
      <c r="F722">
        <v>0</v>
      </c>
      <c r="G722">
        <v>1</v>
      </c>
      <c r="H722">
        <v>0</v>
      </c>
      <c r="I722">
        <v>0</v>
      </c>
      <c r="J722">
        <v>1</v>
      </c>
      <c r="K722">
        <v>0.75</v>
      </c>
    </row>
    <row r="723" spans="1:11" x14ac:dyDescent="0.2">
      <c r="A723" t="s">
        <v>126</v>
      </c>
      <c r="B723">
        <v>120</v>
      </c>
      <c r="C723" t="s">
        <v>15</v>
      </c>
      <c r="D723" t="s">
        <v>2</v>
      </c>
      <c r="E723" t="s">
        <v>16</v>
      </c>
      <c r="F723">
        <v>0</v>
      </c>
      <c r="G723">
        <v>0</v>
      </c>
      <c r="H723">
        <v>0</v>
      </c>
      <c r="I723">
        <v>5</v>
      </c>
      <c r="J723">
        <v>5</v>
      </c>
      <c r="K723">
        <v>0.5</v>
      </c>
    </row>
    <row r="724" spans="1:11" x14ac:dyDescent="0.2">
      <c r="A724" t="s">
        <v>126</v>
      </c>
      <c r="B724">
        <v>120</v>
      </c>
      <c r="C724" t="s">
        <v>18</v>
      </c>
      <c r="D724" t="s">
        <v>6</v>
      </c>
      <c r="E724" t="s">
        <v>19</v>
      </c>
      <c r="F724">
        <v>0</v>
      </c>
      <c r="G724">
        <v>0</v>
      </c>
      <c r="H724">
        <v>4</v>
      </c>
      <c r="I724">
        <v>1</v>
      </c>
      <c r="J724">
        <v>5</v>
      </c>
      <c r="K724">
        <v>2.1</v>
      </c>
    </row>
    <row r="725" spans="1:11" x14ac:dyDescent="0.2">
      <c r="A725" t="s">
        <v>126</v>
      </c>
      <c r="B725">
        <v>120</v>
      </c>
      <c r="C725" t="s">
        <v>23</v>
      </c>
      <c r="D725" t="s">
        <v>33</v>
      </c>
      <c r="E725" t="s">
        <v>34</v>
      </c>
      <c r="F725">
        <v>0</v>
      </c>
      <c r="G725">
        <v>1</v>
      </c>
      <c r="H725">
        <v>0</v>
      </c>
      <c r="I725">
        <v>0</v>
      </c>
      <c r="J725">
        <v>1</v>
      </c>
      <c r="K725">
        <v>0.75</v>
      </c>
    </row>
    <row r="726" spans="1:11" x14ac:dyDescent="0.2">
      <c r="A726" t="s">
        <v>126</v>
      </c>
      <c r="B726">
        <v>121</v>
      </c>
      <c r="C726" t="s">
        <v>15</v>
      </c>
      <c r="D726" t="s">
        <v>2</v>
      </c>
      <c r="E726" t="s">
        <v>16</v>
      </c>
      <c r="F726">
        <v>0</v>
      </c>
      <c r="G726">
        <v>0</v>
      </c>
      <c r="H726">
        <v>0</v>
      </c>
      <c r="I726">
        <v>2</v>
      </c>
      <c r="J726">
        <v>2</v>
      </c>
      <c r="K726">
        <v>0.2</v>
      </c>
    </row>
    <row r="727" spans="1:11" x14ac:dyDescent="0.2">
      <c r="A727" t="s">
        <v>126</v>
      </c>
      <c r="B727">
        <v>121</v>
      </c>
      <c r="C727" t="s">
        <v>18</v>
      </c>
      <c r="D727" t="s">
        <v>6</v>
      </c>
      <c r="E727" t="s">
        <v>19</v>
      </c>
      <c r="F727">
        <v>0</v>
      </c>
      <c r="G727">
        <v>0</v>
      </c>
      <c r="H727">
        <v>0</v>
      </c>
      <c r="I727">
        <v>1</v>
      </c>
      <c r="J727">
        <v>1</v>
      </c>
      <c r="K727">
        <v>0.1</v>
      </c>
    </row>
    <row r="728" spans="1:11" x14ac:dyDescent="0.2">
      <c r="A728" t="s">
        <v>126</v>
      </c>
      <c r="B728">
        <v>121</v>
      </c>
      <c r="C728" t="s">
        <v>18</v>
      </c>
      <c r="D728" t="s">
        <v>2</v>
      </c>
      <c r="E728" t="s">
        <v>54</v>
      </c>
      <c r="F728">
        <v>0</v>
      </c>
      <c r="G728">
        <v>0</v>
      </c>
      <c r="H728">
        <v>0</v>
      </c>
      <c r="I728">
        <v>1</v>
      </c>
      <c r="J728">
        <v>1</v>
      </c>
      <c r="K728">
        <v>0.1</v>
      </c>
    </row>
    <row r="729" spans="1:11" x14ac:dyDescent="0.2">
      <c r="A729" t="s">
        <v>126</v>
      </c>
      <c r="B729">
        <v>121</v>
      </c>
      <c r="C729" t="s">
        <v>23</v>
      </c>
      <c r="D729" t="s">
        <v>2</v>
      </c>
      <c r="E729" t="s">
        <v>61</v>
      </c>
      <c r="F729">
        <v>4</v>
      </c>
      <c r="G729">
        <v>0</v>
      </c>
      <c r="H729">
        <v>0</v>
      </c>
      <c r="I729">
        <v>0</v>
      </c>
      <c r="J729">
        <v>4</v>
      </c>
      <c r="K729">
        <v>4</v>
      </c>
    </row>
    <row r="730" spans="1:11" x14ac:dyDescent="0.2">
      <c r="A730" t="s">
        <v>126</v>
      </c>
      <c r="B730">
        <v>122</v>
      </c>
      <c r="C730" t="s">
        <v>4</v>
      </c>
      <c r="D730" t="s">
        <v>6</v>
      </c>
      <c r="E730" t="s">
        <v>45</v>
      </c>
      <c r="F730">
        <v>0</v>
      </c>
      <c r="G730">
        <v>0</v>
      </c>
      <c r="H730">
        <v>0</v>
      </c>
      <c r="I730">
        <v>2</v>
      </c>
      <c r="J730">
        <v>2</v>
      </c>
      <c r="K730">
        <v>0.2</v>
      </c>
    </row>
    <row r="731" spans="1:11" x14ac:dyDescent="0.2">
      <c r="A731" t="s">
        <v>126</v>
      </c>
      <c r="B731">
        <v>122</v>
      </c>
      <c r="C731" t="s">
        <v>4</v>
      </c>
      <c r="D731" t="s">
        <v>6</v>
      </c>
      <c r="E731" t="s">
        <v>10</v>
      </c>
      <c r="F731">
        <v>0</v>
      </c>
      <c r="G731">
        <v>0</v>
      </c>
      <c r="H731">
        <v>1</v>
      </c>
      <c r="I731">
        <v>1</v>
      </c>
      <c r="J731">
        <v>2</v>
      </c>
      <c r="K731">
        <v>0.6</v>
      </c>
    </row>
    <row r="732" spans="1:11" x14ac:dyDescent="0.2">
      <c r="A732" t="s">
        <v>126</v>
      </c>
      <c r="B732">
        <v>122</v>
      </c>
      <c r="C732" t="s">
        <v>1</v>
      </c>
      <c r="D732" t="s">
        <v>33</v>
      </c>
      <c r="E732" t="s">
        <v>45</v>
      </c>
      <c r="F732">
        <v>0</v>
      </c>
      <c r="G732">
        <v>0</v>
      </c>
      <c r="H732">
        <v>0</v>
      </c>
      <c r="I732">
        <v>2</v>
      </c>
      <c r="J732">
        <v>2</v>
      </c>
      <c r="K732">
        <v>0.2</v>
      </c>
    </row>
    <row r="733" spans="1:11" x14ac:dyDescent="0.2">
      <c r="A733" t="s">
        <v>126</v>
      </c>
      <c r="B733">
        <v>122</v>
      </c>
      <c r="C733" t="s">
        <v>15</v>
      </c>
      <c r="D733" t="s">
        <v>2</v>
      </c>
      <c r="E733" t="s">
        <v>16</v>
      </c>
      <c r="F733">
        <v>0</v>
      </c>
      <c r="G733">
        <v>0</v>
      </c>
      <c r="H733">
        <v>0</v>
      </c>
      <c r="I733">
        <v>1</v>
      </c>
      <c r="J733">
        <v>1</v>
      </c>
      <c r="K733">
        <v>0.1</v>
      </c>
    </row>
    <row r="734" spans="1:11" x14ac:dyDescent="0.2">
      <c r="A734" t="s">
        <v>126</v>
      </c>
      <c r="B734">
        <v>122</v>
      </c>
      <c r="C734" t="s">
        <v>23</v>
      </c>
      <c r="D734" t="s">
        <v>2</v>
      </c>
      <c r="E734" t="s">
        <v>10</v>
      </c>
      <c r="F734">
        <v>0</v>
      </c>
      <c r="G734">
        <v>0</v>
      </c>
      <c r="H734">
        <v>1</v>
      </c>
      <c r="I734">
        <v>1</v>
      </c>
      <c r="J734">
        <v>2</v>
      </c>
      <c r="K734">
        <v>0.6</v>
      </c>
    </row>
    <row r="735" spans="1:11" x14ac:dyDescent="0.2">
      <c r="A735" t="s">
        <v>126</v>
      </c>
      <c r="B735">
        <v>122</v>
      </c>
      <c r="C735" t="s">
        <v>23</v>
      </c>
      <c r="D735" t="s">
        <v>6</v>
      </c>
      <c r="E735" t="s">
        <v>25</v>
      </c>
      <c r="F735">
        <v>0</v>
      </c>
      <c r="G735">
        <v>0</v>
      </c>
      <c r="H735">
        <v>1</v>
      </c>
      <c r="I735">
        <v>1</v>
      </c>
      <c r="J735">
        <v>2</v>
      </c>
      <c r="K735">
        <v>0.6</v>
      </c>
    </row>
    <row r="736" spans="1:11" x14ac:dyDescent="0.2">
      <c r="A736" t="s">
        <v>126</v>
      </c>
      <c r="B736">
        <v>123</v>
      </c>
      <c r="C736" t="s">
        <v>4</v>
      </c>
      <c r="D736" t="s">
        <v>6</v>
      </c>
      <c r="E736" t="s">
        <v>45</v>
      </c>
      <c r="F736">
        <v>0</v>
      </c>
      <c r="G736">
        <v>0</v>
      </c>
      <c r="H736">
        <v>2</v>
      </c>
      <c r="I736">
        <v>0</v>
      </c>
      <c r="J736">
        <v>2</v>
      </c>
      <c r="K736">
        <v>1</v>
      </c>
    </row>
    <row r="737" spans="1:11" x14ac:dyDescent="0.2">
      <c r="A737" t="s">
        <v>126</v>
      </c>
      <c r="B737">
        <v>123</v>
      </c>
      <c r="C737" t="s">
        <v>1</v>
      </c>
      <c r="D737" t="s">
        <v>33</v>
      </c>
      <c r="E737" t="s">
        <v>45</v>
      </c>
      <c r="F737">
        <v>0</v>
      </c>
      <c r="G737">
        <v>0</v>
      </c>
      <c r="H737">
        <v>2</v>
      </c>
      <c r="I737">
        <v>0</v>
      </c>
      <c r="J737">
        <v>2</v>
      </c>
      <c r="K737">
        <v>1</v>
      </c>
    </row>
    <row r="738" spans="1:11" x14ac:dyDescent="0.2">
      <c r="A738" t="s">
        <v>126</v>
      </c>
      <c r="B738">
        <v>123</v>
      </c>
      <c r="C738" t="s">
        <v>23</v>
      </c>
      <c r="D738" t="s">
        <v>33</v>
      </c>
      <c r="E738" t="s">
        <v>40</v>
      </c>
      <c r="F738">
        <v>0</v>
      </c>
      <c r="G738">
        <v>0</v>
      </c>
      <c r="H738">
        <v>1</v>
      </c>
      <c r="I738">
        <v>0</v>
      </c>
      <c r="J738">
        <v>1</v>
      </c>
      <c r="K738">
        <v>0.5</v>
      </c>
    </row>
    <row r="739" spans="1:11" x14ac:dyDescent="0.2">
      <c r="A739" t="s">
        <v>126</v>
      </c>
      <c r="B739">
        <v>123</v>
      </c>
      <c r="C739" t="s">
        <v>23</v>
      </c>
      <c r="D739" t="s">
        <v>2</v>
      </c>
      <c r="E739" t="s">
        <v>61</v>
      </c>
      <c r="F739">
        <v>1</v>
      </c>
      <c r="G739">
        <v>0</v>
      </c>
      <c r="H739">
        <v>0</v>
      </c>
      <c r="I739">
        <v>0</v>
      </c>
      <c r="J739">
        <v>1</v>
      </c>
      <c r="K739">
        <v>1</v>
      </c>
    </row>
    <row r="740" spans="1:11" x14ac:dyDescent="0.2">
      <c r="A740" t="s">
        <v>126</v>
      </c>
      <c r="B740">
        <v>123</v>
      </c>
      <c r="C740" t="s">
        <v>27</v>
      </c>
      <c r="D740" t="s">
        <v>6</v>
      </c>
      <c r="E740" t="s">
        <v>55</v>
      </c>
      <c r="F740">
        <v>0</v>
      </c>
      <c r="G740">
        <v>0</v>
      </c>
      <c r="H740">
        <v>6</v>
      </c>
      <c r="I740">
        <v>0</v>
      </c>
      <c r="J740">
        <v>6</v>
      </c>
      <c r="K740">
        <v>3</v>
      </c>
    </row>
    <row r="741" spans="1:11" x14ac:dyDescent="0.2">
      <c r="A741" t="s">
        <v>126</v>
      </c>
      <c r="B741">
        <v>123</v>
      </c>
      <c r="C741" t="s">
        <v>27</v>
      </c>
      <c r="D741" t="s">
        <v>2</v>
      </c>
      <c r="E741" t="s">
        <v>42</v>
      </c>
      <c r="F741">
        <v>0</v>
      </c>
      <c r="G741">
        <v>0</v>
      </c>
      <c r="H741">
        <v>0</v>
      </c>
      <c r="I741">
        <v>1</v>
      </c>
      <c r="J741">
        <v>1</v>
      </c>
      <c r="K741">
        <v>0.1</v>
      </c>
    </row>
    <row r="742" spans="1:11" x14ac:dyDescent="0.2">
      <c r="A742" t="s">
        <v>126</v>
      </c>
      <c r="B742">
        <v>124</v>
      </c>
      <c r="C742" t="s">
        <v>4</v>
      </c>
      <c r="D742" t="s">
        <v>2</v>
      </c>
      <c r="E742" t="s">
        <v>5</v>
      </c>
      <c r="F742">
        <v>0</v>
      </c>
      <c r="G742">
        <v>1</v>
      </c>
      <c r="H742">
        <v>0</v>
      </c>
      <c r="I742">
        <v>0</v>
      </c>
      <c r="J742">
        <v>1</v>
      </c>
      <c r="K742">
        <v>0.75</v>
      </c>
    </row>
    <row r="743" spans="1:11" x14ac:dyDescent="0.2">
      <c r="A743" t="s">
        <v>126</v>
      </c>
      <c r="B743">
        <v>124</v>
      </c>
      <c r="C743" t="s">
        <v>4</v>
      </c>
      <c r="D743" t="s">
        <v>6</v>
      </c>
      <c r="E743" t="s">
        <v>5</v>
      </c>
      <c r="F743">
        <v>0</v>
      </c>
      <c r="G743">
        <v>1</v>
      </c>
      <c r="H743">
        <v>0</v>
      </c>
      <c r="I743">
        <v>0</v>
      </c>
      <c r="J743">
        <v>1</v>
      </c>
      <c r="K743">
        <v>0.75</v>
      </c>
    </row>
    <row r="744" spans="1:11" x14ac:dyDescent="0.2">
      <c r="A744" t="s">
        <v>126</v>
      </c>
      <c r="B744">
        <v>124</v>
      </c>
      <c r="C744" t="s">
        <v>4</v>
      </c>
      <c r="D744" t="s">
        <v>2</v>
      </c>
      <c r="E744" t="s">
        <v>7</v>
      </c>
      <c r="F744">
        <v>0</v>
      </c>
      <c r="G744">
        <v>2</v>
      </c>
      <c r="H744">
        <v>0</v>
      </c>
      <c r="I744">
        <v>0</v>
      </c>
      <c r="J744">
        <v>2</v>
      </c>
      <c r="K744">
        <v>1.5</v>
      </c>
    </row>
    <row r="745" spans="1:11" x14ac:dyDescent="0.2">
      <c r="A745" t="s">
        <v>126</v>
      </c>
      <c r="B745">
        <v>124</v>
      </c>
      <c r="C745" t="s">
        <v>4</v>
      </c>
      <c r="D745" t="s">
        <v>6</v>
      </c>
      <c r="E745" t="s">
        <v>10</v>
      </c>
      <c r="F745">
        <v>0</v>
      </c>
      <c r="G745">
        <v>2</v>
      </c>
      <c r="H745">
        <v>0</v>
      </c>
      <c r="I745">
        <v>0</v>
      </c>
      <c r="J745">
        <v>2</v>
      </c>
      <c r="K745">
        <v>1.5</v>
      </c>
    </row>
    <row r="746" spans="1:11" x14ac:dyDescent="0.2">
      <c r="A746" t="s">
        <v>126</v>
      </c>
      <c r="B746">
        <v>124</v>
      </c>
      <c r="C746" t="s">
        <v>18</v>
      </c>
      <c r="D746" t="s">
        <v>6</v>
      </c>
      <c r="E746" t="s">
        <v>134</v>
      </c>
      <c r="F746">
        <v>0</v>
      </c>
      <c r="G746">
        <v>0</v>
      </c>
      <c r="H746">
        <v>1</v>
      </c>
      <c r="I746">
        <v>0</v>
      </c>
      <c r="J746">
        <v>1</v>
      </c>
      <c r="K746">
        <v>0.5</v>
      </c>
    </row>
    <row r="747" spans="1:11" x14ac:dyDescent="0.2">
      <c r="A747" t="s">
        <v>126</v>
      </c>
      <c r="B747">
        <v>124</v>
      </c>
      <c r="C747" t="s">
        <v>18</v>
      </c>
      <c r="D747" t="s">
        <v>6</v>
      </c>
      <c r="E747" t="s">
        <v>39</v>
      </c>
      <c r="F747">
        <v>0</v>
      </c>
      <c r="G747">
        <v>0</v>
      </c>
      <c r="H747">
        <v>2</v>
      </c>
      <c r="I747">
        <v>2</v>
      </c>
      <c r="J747">
        <v>4</v>
      </c>
      <c r="K747">
        <v>1.2</v>
      </c>
    </row>
    <row r="748" spans="1:11" x14ac:dyDescent="0.2">
      <c r="A748" t="s">
        <v>126</v>
      </c>
      <c r="B748">
        <v>124</v>
      </c>
      <c r="C748" t="s">
        <v>23</v>
      </c>
      <c r="D748" t="s">
        <v>2</v>
      </c>
      <c r="E748" t="s">
        <v>58</v>
      </c>
      <c r="F748">
        <v>0</v>
      </c>
      <c r="G748">
        <v>0</v>
      </c>
      <c r="H748">
        <v>0</v>
      </c>
      <c r="I748">
        <v>1</v>
      </c>
      <c r="J748">
        <v>1</v>
      </c>
      <c r="K748">
        <v>0.1</v>
      </c>
    </row>
    <row r="749" spans="1:11" x14ac:dyDescent="0.2">
      <c r="A749" t="s">
        <v>126</v>
      </c>
      <c r="B749">
        <v>124</v>
      </c>
      <c r="C749" t="s">
        <v>23</v>
      </c>
      <c r="D749" t="s">
        <v>2</v>
      </c>
      <c r="E749" t="s">
        <v>10</v>
      </c>
      <c r="F749">
        <v>0</v>
      </c>
      <c r="G749">
        <v>2</v>
      </c>
      <c r="H749">
        <v>0</v>
      </c>
      <c r="I749">
        <v>0</v>
      </c>
      <c r="J749">
        <v>2</v>
      </c>
      <c r="K749">
        <v>1.5</v>
      </c>
    </row>
    <row r="750" spans="1:11" x14ac:dyDescent="0.2">
      <c r="A750" t="s">
        <v>126</v>
      </c>
      <c r="B750">
        <v>124</v>
      </c>
      <c r="C750" t="s">
        <v>23</v>
      </c>
      <c r="D750" t="s">
        <v>6</v>
      </c>
      <c r="E750" t="s">
        <v>25</v>
      </c>
      <c r="F750">
        <v>0</v>
      </c>
      <c r="G750">
        <v>2</v>
      </c>
      <c r="H750">
        <v>0</v>
      </c>
      <c r="I750">
        <v>0</v>
      </c>
      <c r="J750">
        <v>2</v>
      </c>
      <c r="K750">
        <v>1.5</v>
      </c>
    </row>
    <row r="751" spans="1:11" x14ac:dyDescent="0.2">
      <c r="A751" t="s">
        <v>126</v>
      </c>
      <c r="B751">
        <v>124</v>
      </c>
      <c r="C751" t="s">
        <v>23</v>
      </c>
      <c r="D751" t="s">
        <v>2</v>
      </c>
      <c r="E751" t="s">
        <v>61</v>
      </c>
      <c r="F751">
        <v>0</v>
      </c>
      <c r="G751">
        <v>0</v>
      </c>
      <c r="H751">
        <v>1</v>
      </c>
      <c r="I751">
        <v>0</v>
      </c>
      <c r="J751">
        <v>1</v>
      </c>
      <c r="K751">
        <v>0.5</v>
      </c>
    </row>
    <row r="752" spans="1:11" x14ac:dyDescent="0.2">
      <c r="A752" t="s">
        <v>126</v>
      </c>
      <c r="B752">
        <v>124</v>
      </c>
      <c r="C752" t="s">
        <v>27</v>
      </c>
      <c r="D752" t="s">
        <v>2</v>
      </c>
      <c r="E752" t="s">
        <v>5</v>
      </c>
      <c r="F752">
        <v>0</v>
      </c>
      <c r="G752">
        <v>1</v>
      </c>
      <c r="H752">
        <v>0</v>
      </c>
      <c r="I752">
        <v>0</v>
      </c>
      <c r="J752">
        <v>1</v>
      </c>
      <c r="K752">
        <v>0.75</v>
      </c>
    </row>
    <row r="753" spans="1:11" x14ac:dyDescent="0.2">
      <c r="A753" t="s">
        <v>126</v>
      </c>
      <c r="B753">
        <v>125</v>
      </c>
      <c r="C753" t="s">
        <v>4</v>
      </c>
      <c r="D753" t="s">
        <v>2</v>
      </c>
      <c r="E753" t="s">
        <v>7</v>
      </c>
      <c r="F753">
        <v>0</v>
      </c>
      <c r="G753">
        <v>1</v>
      </c>
      <c r="H753">
        <v>0</v>
      </c>
      <c r="I753">
        <v>0</v>
      </c>
      <c r="J753">
        <v>1</v>
      </c>
      <c r="K753">
        <v>0.75</v>
      </c>
    </row>
    <row r="754" spans="1:11" x14ac:dyDescent="0.2">
      <c r="A754" t="s">
        <v>126</v>
      </c>
      <c r="B754">
        <v>125</v>
      </c>
      <c r="C754" t="s">
        <v>4</v>
      </c>
      <c r="D754" t="s">
        <v>2</v>
      </c>
      <c r="E754" t="s">
        <v>32</v>
      </c>
      <c r="F754">
        <v>0</v>
      </c>
      <c r="G754">
        <v>0</v>
      </c>
      <c r="H754">
        <v>0</v>
      </c>
      <c r="I754">
        <v>4</v>
      </c>
      <c r="J754">
        <v>4</v>
      </c>
      <c r="K754">
        <v>0.4</v>
      </c>
    </row>
    <row r="755" spans="1:11" x14ac:dyDescent="0.2">
      <c r="A755" t="s">
        <v>126</v>
      </c>
      <c r="B755">
        <v>125</v>
      </c>
      <c r="C755" t="s">
        <v>15</v>
      </c>
      <c r="D755" t="s">
        <v>2</v>
      </c>
      <c r="E755" t="s">
        <v>16</v>
      </c>
      <c r="F755">
        <v>0</v>
      </c>
      <c r="G755">
        <v>0</v>
      </c>
      <c r="H755">
        <v>0</v>
      </c>
      <c r="I755">
        <v>2</v>
      </c>
      <c r="J755">
        <v>2</v>
      </c>
      <c r="K755">
        <v>0.2</v>
      </c>
    </row>
    <row r="756" spans="1:11" x14ac:dyDescent="0.2">
      <c r="A756" t="s">
        <v>126</v>
      </c>
      <c r="B756">
        <v>125</v>
      </c>
      <c r="C756" t="s">
        <v>23</v>
      </c>
      <c r="D756" t="s">
        <v>33</v>
      </c>
      <c r="E756" t="s">
        <v>34</v>
      </c>
      <c r="F756">
        <v>0</v>
      </c>
      <c r="G756">
        <v>0</v>
      </c>
      <c r="H756">
        <v>4</v>
      </c>
      <c r="I756">
        <v>0</v>
      </c>
      <c r="J756">
        <v>4</v>
      </c>
      <c r="K756">
        <v>2.4</v>
      </c>
    </row>
    <row r="757" spans="1:11" x14ac:dyDescent="0.2">
      <c r="A757" t="s">
        <v>126</v>
      </c>
      <c r="B757">
        <v>125</v>
      </c>
      <c r="C757" t="s">
        <v>23</v>
      </c>
      <c r="D757" t="s">
        <v>33</v>
      </c>
      <c r="E757" t="s">
        <v>40</v>
      </c>
      <c r="F757">
        <v>0</v>
      </c>
      <c r="G757">
        <v>0</v>
      </c>
      <c r="H757">
        <v>1</v>
      </c>
      <c r="I757">
        <v>0</v>
      </c>
      <c r="J757">
        <v>1</v>
      </c>
      <c r="K757">
        <v>0.5</v>
      </c>
    </row>
    <row r="758" spans="1:11" x14ac:dyDescent="0.2">
      <c r="A758" t="s">
        <v>126</v>
      </c>
      <c r="B758">
        <v>125</v>
      </c>
      <c r="C758" t="s">
        <v>27</v>
      </c>
      <c r="D758" t="s">
        <v>2</v>
      </c>
      <c r="E758" t="s">
        <v>49</v>
      </c>
      <c r="F758">
        <v>3</v>
      </c>
      <c r="G758">
        <v>0</v>
      </c>
      <c r="H758">
        <v>0</v>
      </c>
      <c r="I758">
        <v>0</v>
      </c>
      <c r="J758">
        <v>3</v>
      </c>
      <c r="K758">
        <v>3</v>
      </c>
    </row>
    <row r="759" spans="1:11" x14ac:dyDescent="0.2">
      <c r="A759" t="s">
        <v>126</v>
      </c>
      <c r="B759">
        <v>125</v>
      </c>
      <c r="C759" t="s">
        <v>27</v>
      </c>
      <c r="D759" t="s">
        <v>6</v>
      </c>
      <c r="E759" t="s">
        <v>50</v>
      </c>
      <c r="F759">
        <v>0</v>
      </c>
      <c r="G759">
        <v>0</v>
      </c>
      <c r="H759">
        <v>3</v>
      </c>
      <c r="I759">
        <v>0</v>
      </c>
      <c r="J759">
        <v>3</v>
      </c>
      <c r="K759">
        <v>1.5</v>
      </c>
    </row>
    <row r="760" spans="1:11" x14ac:dyDescent="0.2">
      <c r="A760" t="s">
        <v>126</v>
      </c>
      <c r="B760">
        <v>125</v>
      </c>
      <c r="C760" t="s">
        <v>27</v>
      </c>
      <c r="D760" t="s">
        <v>33</v>
      </c>
      <c r="E760" t="s">
        <v>50</v>
      </c>
      <c r="F760">
        <v>0</v>
      </c>
      <c r="G760">
        <v>0</v>
      </c>
      <c r="H760">
        <v>3</v>
      </c>
      <c r="I760">
        <v>0</v>
      </c>
      <c r="J760">
        <v>3</v>
      </c>
      <c r="K760">
        <v>1.5</v>
      </c>
    </row>
    <row r="761" spans="1:11" x14ac:dyDescent="0.2">
      <c r="A761" t="s">
        <v>126</v>
      </c>
      <c r="B761">
        <v>126</v>
      </c>
      <c r="C761" t="s">
        <v>27</v>
      </c>
      <c r="D761" t="s">
        <v>6</v>
      </c>
      <c r="E761" t="s">
        <v>84</v>
      </c>
      <c r="F761">
        <v>1</v>
      </c>
      <c r="G761">
        <v>0</v>
      </c>
      <c r="H761">
        <v>0</v>
      </c>
      <c r="I761">
        <v>0</v>
      </c>
      <c r="J761">
        <v>1</v>
      </c>
      <c r="K761">
        <v>1</v>
      </c>
    </row>
    <row r="762" spans="1:11" x14ac:dyDescent="0.2">
      <c r="A762" t="s">
        <v>126</v>
      </c>
      <c r="B762">
        <v>127</v>
      </c>
      <c r="C762" t="s">
        <v>4</v>
      </c>
      <c r="D762" t="s">
        <v>33</v>
      </c>
      <c r="E762" t="s">
        <v>36</v>
      </c>
      <c r="F762">
        <v>0</v>
      </c>
      <c r="G762">
        <v>1</v>
      </c>
      <c r="H762">
        <v>0</v>
      </c>
      <c r="I762">
        <v>0</v>
      </c>
      <c r="J762">
        <v>1</v>
      </c>
      <c r="K762">
        <v>0.75</v>
      </c>
    </row>
    <row r="763" spans="1:11" x14ac:dyDescent="0.2">
      <c r="A763" t="s">
        <v>126</v>
      </c>
      <c r="B763">
        <v>127</v>
      </c>
      <c r="C763" t="s">
        <v>11</v>
      </c>
      <c r="D763" t="s">
        <v>2</v>
      </c>
      <c r="E763" t="s">
        <v>66</v>
      </c>
      <c r="F763">
        <v>0</v>
      </c>
      <c r="G763">
        <v>0</v>
      </c>
      <c r="H763">
        <v>1</v>
      </c>
      <c r="I763">
        <v>0</v>
      </c>
      <c r="J763">
        <v>1</v>
      </c>
      <c r="K763">
        <v>0.5</v>
      </c>
    </row>
    <row r="764" spans="1:11" x14ac:dyDescent="0.2">
      <c r="A764" t="s">
        <v>126</v>
      </c>
      <c r="B764">
        <v>127</v>
      </c>
      <c r="C764" t="s">
        <v>15</v>
      </c>
      <c r="D764" t="s">
        <v>2</v>
      </c>
      <c r="E764" t="s">
        <v>38</v>
      </c>
      <c r="F764">
        <v>0</v>
      </c>
      <c r="G764">
        <v>2</v>
      </c>
      <c r="H764">
        <v>0</v>
      </c>
      <c r="I764">
        <v>0</v>
      </c>
      <c r="J764">
        <v>2</v>
      </c>
      <c r="K764">
        <v>1.5</v>
      </c>
    </row>
    <row r="765" spans="1:11" x14ac:dyDescent="0.2">
      <c r="A765" t="s">
        <v>126</v>
      </c>
      <c r="B765">
        <v>127</v>
      </c>
      <c r="C765" t="s">
        <v>15</v>
      </c>
      <c r="D765" t="s">
        <v>2</v>
      </c>
      <c r="E765" t="s">
        <v>66</v>
      </c>
      <c r="F765">
        <v>0</v>
      </c>
      <c r="G765">
        <v>0</v>
      </c>
      <c r="H765">
        <v>1</v>
      </c>
      <c r="I765">
        <v>0</v>
      </c>
      <c r="J765">
        <v>1</v>
      </c>
      <c r="K765">
        <v>0.5</v>
      </c>
    </row>
    <row r="766" spans="1:11" x14ac:dyDescent="0.2">
      <c r="A766" t="s">
        <v>126</v>
      </c>
      <c r="B766">
        <v>127</v>
      </c>
      <c r="C766" t="s">
        <v>18</v>
      </c>
      <c r="D766" t="s">
        <v>2</v>
      </c>
      <c r="E766" t="s">
        <v>21</v>
      </c>
      <c r="F766">
        <v>0</v>
      </c>
      <c r="G766">
        <v>0</v>
      </c>
      <c r="H766">
        <v>0</v>
      </c>
      <c r="I766">
        <v>1</v>
      </c>
      <c r="J766">
        <v>1</v>
      </c>
      <c r="K766">
        <v>0.1</v>
      </c>
    </row>
    <row r="767" spans="1:11" x14ac:dyDescent="0.2">
      <c r="A767" t="s">
        <v>126</v>
      </c>
      <c r="B767">
        <v>127</v>
      </c>
      <c r="C767" t="s">
        <v>18</v>
      </c>
      <c r="D767" t="s">
        <v>2</v>
      </c>
      <c r="E767" t="s">
        <v>54</v>
      </c>
      <c r="F767">
        <v>0</v>
      </c>
      <c r="G767">
        <v>0</v>
      </c>
      <c r="H767">
        <v>0</v>
      </c>
      <c r="I767">
        <v>1</v>
      </c>
      <c r="J767">
        <v>1</v>
      </c>
      <c r="K767">
        <v>0.1</v>
      </c>
    </row>
    <row r="768" spans="1:11" x14ac:dyDescent="0.2">
      <c r="A768" t="s">
        <v>126</v>
      </c>
      <c r="B768">
        <v>128</v>
      </c>
      <c r="C768" t="s">
        <v>4</v>
      </c>
      <c r="D768" t="s">
        <v>2</v>
      </c>
      <c r="E768" t="s">
        <v>131</v>
      </c>
      <c r="F768">
        <v>4</v>
      </c>
      <c r="G768">
        <v>0</v>
      </c>
      <c r="H768">
        <v>0</v>
      </c>
      <c r="I768">
        <v>0</v>
      </c>
      <c r="J768">
        <v>4</v>
      </c>
      <c r="K768">
        <v>4</v>
      </c>
    </row>
    <row r="769" spans="1:11" x14ac:dyDescent="0.2">
      <c r="A769" t="s">
        <v>126</v>
      </c>
      <c r="B769">
        <v>128</v>
      </c>
      <c r="C769" t="s">
        <v>4</v>
      </c>
      <c r="D769" t="s">
        <v>2</v>
      </c>
      <c r="E769" t="s">
        <v>70</v>
      </c>
      <c r="F769">
        <v>1</v>
      </c>
      <c r="G769">
        <v>0</v>
      </c>
      <c r="H769">
        <v>0</v>
      </c>
      <c r="I769">
        <v>0</v>
      </c>
      <c r="J769">
        <v>1</v>
      </c>
      <c r="K769">
        <v>1</v>
      </c>
    </row>
    <row r="770" spans="1:11" x14ac:dyDescent="0.2">
      <c r="A770" t="s">
        <v>126</v>
      </c>
      <c r="B770">
        <v>128</v>
      </c>
      <c r="C770" t="s">
        <v>11</v>
      </c>
      <c r="D770" t="s">
        <v>2</v>
      </c>
      <c r="E770" t="s">
        <v>52</v>
      </c>
      <c r="F770">
        <v>0</v>
      </c>
      <c r="G770">
        <v>1</v>
      </c>
      <c r="H770">
        <v>0</v>
      </c>
      <c r="I770">
        <v>0</v>
      </c>
      <c r="J770">
        <v>1</v>
      </c>
      <c r="K770">
        <v>0.75</v>
      </c>
    </row>
    <row r="771" spans="1:11" x14ac:dyDescent="0.2">
      <c r="A771" t="s">
        <v>126</v>
      </c>
      <c r="B771">
        <v>128</v>
      </c>
      <c r="C771" t="s">
        <v>11</v>
      </c>
      <c r="D771" t="s">
        <v>2</v>
      </c>
      <c r="E771" t="s">
        <v>66</v>
      </c>
      <c r="F771">
        <v>0</v>
      </c>
      <c r="G771">
        <v>0</v>
      </c>
      <c r="H771">
        <v>3</v>
      </c>
      <c r="I771">
        <v>1</v>
      </c>
      <c r="J771">
        <v>4</v>
      </c>
      <c r="K771">
        <v>1.6</v>
      </c>
    </row>
    <row r="772" spans="1:11" x14ac:dyDescent="0.2">
      <c r="A772" t="s">
        <v>126</v>
      </c>
      <c r="B772">
        <v>128</v>
      </c>
      <c r="C772" t="s">
        <v>11</v>
      </c>
      <c r="D772" t="s">
        <v>2</v>
      </c>
      <c r="E772" t="s">
        <v>88</v>
      </c>
      <c r="F772">
        <v>0</v>
      </c>
      <c r="G772">
        <v>0</v>
      </c>
      <c r="H772">
        <v>1</v>
      </c>
      <c r="I772">
        <v>1</v>
      </c>
      <c r="J772">
        <v>2</v>
      </c>
      <c r="K772">
        <v>0.6</v>
      </c>
    </row>
    <row r="773" spans="1:11" x14ac:dyDescent="0.2">
      <c r="A773" t="s">
        <v>126</v>
      </c>
      <c r="B773">
        <v>128</v>
      </c>
      <c r="C773" t="s">
        <v>15</v>
      </c>
      <c r="D773" t="s">
        <v>2</v>
      </c>
      <c r="E773" t="s">
        <v>66</v>
      </c>
      <c r="F773">
        <v>0</v>
      </c>
      <c r="G773">
        <v>0</v>
      </c>
      <c r="H773">
        <v>3</v>
      </c>
      <c r="I773">
        <v>1</v>
      </c>
      <c r="J773">
        <v>4</v>
      </c>
      <c r="K773">
        <v>1.6</v>
      </c>
    </row>
    <row r="774" spans="1:11" x14ac:dyDescent="0.2">
      <c r="A774" t="s">
        <v>126</v>
      </c>
      <c r="B774">
        <v>128</v>
      </c>
      <c r="C774" t="s">
        <v>18</v>
      </c>
      <c r="D774" t="s">
        <v>2</v>
      </c>
      <c r="E774" t="s">
        <v>20</v>
      </c>
      <c r="F774">
        <v>0</v>
      </c>
      <c r="G774">
        <v>0</v>
      </c>
      <c r="H774">
        <v>2</v>
      </c>
      <c r="I774">
        <v>0</v>
      </c>
      <c r="J774">
        <v>2</v>
      </c>
      <c r="K774">
        <v>1</v>
      </c>
    </row>
    <row r="775" spans="1:11" x14ac:dyDescent="0.2">
      <c r="A775" t="s">
        <v>126</v>
      </c>
      <c r="B775">
        <v>128</v>
      </c>
      <c r="C775" t="s">
        <v>18</v>
      </c>
      <c r="D775" t="s">
        <v>2</v>
      </c>
      <c r="E775" t="s">
        <v>110</v>
      </c>
      <c r="F775">
        <v>1</v>
      </c>
      <c r="G775">
        <v>0</v>
      </c>
      <c r="H775">
        <v>0</v>
      </c>
      <c r="I775">
        <v>0</v>
      </c>
      <c r="J775">
        <v>1</v>
      </c>
      <c r="K775">
        <v>1</v>
      </c>
    </row>
    <row r="776" spans="1:11" x14ac:dyDescent="0.2">
      <c r="A776" t="s">
        <v>126</v>
      </c>
      <c r="B776">
        <v>128</v>
      </c>
      <c r="C776" t="s">
        <v>18</v>
      </c>
      <c r="D776" t="s">
        <v>6</v>
      </c>
      <c r="E776" t="s">
        <v>110</v>
      </c>
      <c r="F776">
        <v>1</v>
      </c>
      <c r="G776">
        <v>0</v>
      </c>
      <c r="H776">
        <v>0</v>
      </c>
      <c r="I776">
        <v>0</v>
      </c>
      <c r="J776">
        <v>1</v>
      </c>
      <c r="K776">
        <v>1</v>
      </c>
    </row>
    <row r="777" spans="1:11" x14ac:dyDescent="0.2">
      <c r="A777" t="s">
        <v>126</v>
      </c>
      <c r="B777">
        <v>128</v>
      </c>
      <c r="C777" t="s">
        <v>27</v>
      </c>
      <c r="D777" t="s">
        <v>2</v>
      </c>
      <c r="E777" t="s">
        <v>42</v>
      </c>
      <c r="F777">
        <v>0</v>
      </c>
      <c r="G777">
        <v>0</v>
      </c>
      <c r="H777">
        <v>1</v>
      </c>
      <c r="I777">
        <v>0</v>
      </c>
      <c r="J777">
        <v>1</v>
      </c>
      <c r="K777">
        <v>0.5</v>
      </c>
    </row>
    <row r="778" spans="1:11" x14ac:dyDescent="0.2">
      <c r="A778" t="s">
        <v>126</v>
      </c>
      <c r="B778">
        <v>129</v>
      </c>
      <c r="C778" t="s">
        <v>4</v>
      </c>
      <c r="D778" t="s">
        <v>2</v>
      </c>
      <c r="E778" t="s">
        <v>70</v>
      </c>
      <c r="F778">
        <v>1</v>
      </c>
      <c r="G778">
        <v>0</v>
      </c>
      <c r="H778">
        <v>0</v>
      </c>
      <c r="I778">
        <v>0</v>
      </c>
      <c r="J778">
        <v>1</v>
      </c>
      <c r="K778">
        <v>1</v>
      </c>
    </row>
    <row r="779" spans="1:11" x14ac:dyDescent="0.2">
      <c r="A779" t="s">
        <v>126</v>
      </c>
      <c r="B779">
        <v>129</v>
      </c>
      <c r="C779" t="s">
        <v>11</v>
      </c>
      <c r="D779" t="s">
        <v>2</v>
      </c>
      <c r="E779" t="s">
        <v>66</v>
      </c>
      <c r="F779">
        <v>0</v>
      </c>
      <c r="G779">
        <v>0</v>
      </c>
      <c r="H779">
        <v>0</v>
      </c>
      <c r="I779">
        <v>1</v>
      </c>
      <c r="J779">
        <v>1</v>
      </c>
      <c r="K779">
        <v>0.1</v>
      </c>
    </row>
    <row r="780" spans="1:11" x14ac:dyDescent="0.2">
      <c r="A780" t="s">
        <v>126</v>
      </c>
      <c r="B780">
        <v>129</v>
      </c>
      <c r="C780" t="s">
        <v>11</v>
      </c>
      <c r="D780" t="s">
        <v>2</v>
      </c>
      <c r="E780" t="s">
        <v>62</v>
      </c>
      <c r="F780">
        <v>0</v>
      </c>
      <c r="G780">
        <v>0</v>
      </c>
      <c r="H780">
        <v>1</v>
      </c>
      <c r="I780">
        <v>0</v>
      </c>
      <c r="J780">
        <v>1</v>
      </c>
      <c r="K780">
        <v>0.5</v>
      </c>
    </row>
    <row r="781" spans="1:11" x14ac:dyDescent="0.2">
      <c r="A781" t="s">
        <v>126</v>
      </c>
      <c r="B781">
        <v>129</v>
      </c>
      <c r="C781" t="s">
        <v>15</v>
      </c>
      <c r="D781" t="s">
        <v>2</v>
      </c>
      <c r="E781" t="s">
        <v>66</v>
      </c>
      <c r="F781">
        <v>0</v>
      </c>
      <c r="G781">
        <v>0</v>
      </c>
      <c r="H781">
        <v>0</v>
      </c>
      <c r="I781">
        <v>1</v>
      </c>
      <c r="J781">
        <v>1</v>
      </c>
      <c r="K781">
        <v>0.1</v>
      </c>
    </row>
    <row r="782" spans="1:11" x14ac:dyDescent="0.2">
      <c r="A782" t="s">
        <v>126</v>
      </c>
      <c r="B782">
        <v>129</v>
      </c>
      <c r="C782" t="s">
        <v>18</v>
      </c>
      <c r="D782" t="s">
        <v>2</v>
      </c>
      <c r="E782" t="s">
        <v>62</v>
      </c>
      <c r="F782">
        <v>0</v>
      </c>
      <c r="G782">
        <v>0</v>
      </c>
      <c r="H782">
        <v>1</v>
      </c>
      <c r="I782">
        <v>0</v>
      </c>
      <c r="J782">
        <v>1</v>
      </c>
      <c r="K782">
        <v>0.5</v>
      </c>
    </row>
    <row r="783" spans="1:11" x14ac:dyDescent="0.2">
      <c r="A783" t="s">
        <v>126</v>
      </c>
      <c r="B783">
        <v>129</v>
      </c>
      <c r="C783" t="s">
        <v>18</v>
      </c>
      <c r="D783" t="s">
        <v>2</v>
      </c>
      <c r="E783" t="s">
        <v>54</v>
      </c>
      <c r="F783">
        <v>0</v>
      </c>
      <c r="G783">
        <v>0</v>
      </c>
      <c r="H783">
        <v>0</v>
      </c>
      <c r="I783">
        <v>1</v>
      </c>
      <c r="J783">
        <v>1</v>
      </c>
      <c r="K783">
        <v>0.1</v>
      </c>
    </row>
    <row r="784" spans="1:11" x14ac:dyDescent="0.2">
      <c r="A784" t="s">
        <v>126</v>
      </c>
      <c r="B784">
        <v>129</v>
      </c>
      <c r="C784" t="s">
        <v>23</v>
      </c>
      <c r="D784" t="s">
        <v>2</v>
      </c>
      <c r="E784" t="s">
        <v>35</v>
      </c>
      <c r="F784">
        <v>0</v>
      </c>
      <c r="G784">
        <v>1</v>
      </c>
      <c r="H784">
        <v>0</v>
      </c>
      <c r="I784">
        <v>0</v>
      </c>
      <c r="J784">
        <v>1</v>
      </c>
      <c r="K784">
        <v>0.75</v>
      </c>
    </row>
    <row r="785" spans="1:11" x14ac:dyDescent="0.2">
      <c r="A785" t="s">
        <v>126</v>
      </c>
      <c r="B785">
        <v>129</v>
      </c>
      <c r="C785" t="s">
        <v>27</v>
      </c>
      <c r="D785" t="s">
        <v>6</v>
      </c>
      <c r="E785" t="s">
        <v>85</v>
      </c>
      <c r="F785">
        <v>0</v>
      </c>
      <c r="G785">
        <v>0</v>
      </c>
      <c r="H785">
        <v>1</v>
      </c>
      <c r="I785">
        <v>0</v>
      </c>
      <c r="J785">
        <v>1</v>
      </c>
      <c r="K785">
        <v>0.5</v>
      </c>
    </row>
    <row r="786" spans="1:11" x14ac:dyDescent="0.2">
      <c r="A786" t="s">
        <v>126</v>
      </c>
      <c r="B786">
        <v>129</v>
      </c>
      <c r="C786" t="s">
        <v>27</v>
      </c>
      <c r="D786" t="s">
        <v>2</v>
      </c>
      <c r="E786" t="s">
        <v>86</v>
      </c>
      <c r="F786">
        <v>0</v>
      </c>
      <c r="G786">
        <v>0</v>
      </c>
      <c r="H786">
        <v>0</v>
      </c>
      <c r="I786">
        <v>1</v>
      </c>
      <c r="J786">
        <v>1</v>
      </c>
      <c r="K786">
        <v>0.1</v>
      </c>
    </row>
    <row r="787" spans="1:11" x14ac:dyDescent="0.2">
      <c r="A787" t="s">
        <v>126</v>
      </c>
      <c r="B787">
        <v>131</v>
      </c>
      <c r="C787" t="s">
        <v>4</v>
      </c>
      <c r="D787" t="s">
        <v>2</v>
      </c>
      <c r="E787" t="s">
        <v>43</v>
      </c>
      <c r="F787">
        <v>0</v>
      </c>
      <c r="G787">
        <v>1</v>
      </c>
      <c r="H787">
        <v>0</v>
      </c>
      <c r="I787">
        <v>0</v>
      </c>
      <c r="J787">
        <v>1</v>
      </c>
      <c r="K787">
        <v>0.75</v>
      </c>
    </row>
    <row r="788" spans="1:11" x14ac:dyDescent="0.2">
      <c r="A788" t="s">
        <v>126</v>
      </c>
      <c r="B788">
        <v>131</v>
      </c>
      <c r="C788" t="s">
        <v>11</v>
      </c>
      <c r="D788" t="s">
        <v>2</v>
      </c>
      <c r="E788" t="s">
        <v>52</v>
      </c>
      <c r="F788">
        <v>0</v>
      </c>
      <c r="G788">
        <v>2</v>
      </c>
      <c r="H788">
        <v>0</v>
      </c>
      <c r="I788">
        <v>0</v>
      </c>
      <c r="J788">
        <v>2</v>
      </c>
      <c r="K788">
        <v>1.5</v>
      </c>
    </row>
    <row r="789" spans="1:11" x14ac:dyDescent="0.2">
      <c r="A789" t="s">
        <v>126</v>
      </c>
      <c r="B789">
        <v>131</v>
      </c>
      <c r="C789" t="s">
        <v>15</v>
      </c>
      <c r="D789" t="s">
        <v>6</v>
      </c>
      <c r="E789" t="s">
        <v>135</v>
      </c>
      <c r="F789">
        <v>0</v>
      </c>
      <c r="G789">
        <v>1</v>
      </c>
      <c r="H789">
        <v>0</v>
      </c>
      <c r="I789">
        <v>0</v>
      </c>
      <c r="J789">
        <v>1</v>
      </c>
      <c r="K789">
        <v>0.75</v>
      </c>
    </row>
    <row r="790" spans="1:11" x14ac:dyDescent="0.2">
      <c r="A790" t="s">
        <v>126</v>
      </c>
      <c r="B790">
        <v>131</v>
      </c>
      <c r="C790" t="s">
        <v>23</v>
      </c>
      <c r="D790" t="s">
        <v>2</v>
      </c>
      <c r="E790" t="s">
        <v>89</v>
      </c>
      <c r="F790">
        <v>0</v>
      </c>
      <c r="G790">
        <v>1</v>
      </c>
      <c r="H790">
        <v>0</v>
      </c>
      <c r="I790">
        <v>0</v>
      </c>
      <c r="J790">
        <v>1</v>
      </c>
      <c r="K790">
        <v>0.75</v>
      </c>
    </row>
    <row r="791" spans="1:11" x14ac:dyDescent="0.2">
      <c r="A791" t="s">
        <v>126</v>
      </c>
      <c r="B791">
        <v>131</v>
      </c>
      <c r="C791" t="s">
        <v>27</v>
      </c>
      <c r="D791" t="s">
        <v>2</v>
      </c>
      <c r="E791" t="s">
        <v>87</v>
      </c>
      <c r="F791">
        <v>0</v>
      </c>
      <c r="G791">
        <v>1</v>
      </c>
      <c r="H791">
        <v>0</v>
      </c>
      <c r="I791">
        <v>0</v>
      </c>
      <c r="J791">
        <v>1</v>
      </c>
      <c r="K791">
        <v>0.75</v>
      </c>
    </row>
    <row r="792" spans="1:11" x14ac:dyDescent="0.2">
      <c r="A792" t="s">
        <v>126</v>
      </c>
      <c r="B792">
        <v>132</v>
      </c>
      <c r="C792" t="s">
        <v>4</v>
      </c>
      <c r="D792" t="s">
        <v>33</v>
      </c>
      <c r="E792" t="s">
        <v>36</v>
      </c>
      <c r="F792">
        <v>1</v>
      </c>
      <c r="G792">
        <v>0</v>
      </c>
      <c r="H792">
        <v>2</v>
      </c>
      <c r="I792">
        <v>0</v>
      </c>
      <c r="J792">
        <v>3</v>
      </c>
      <c r="K792">
        <v>2</v>
      </c>
    </row>
    <row r="793" spans="1:11" x14ac:dyDescent="0.2">
      <c r="A793" t="s">
        <v>126</v>
      </c>
      <c r="B793">
        <v>132</v>
      </c>
      <c r="C793" t="s">
        <v>15</v>
      </c>
      <c r="D793" t="s">
        <v>2</v>
      </c>
      <c r="E793" t="s">
        <v>16</v>
      </c>
      <c r="F793">
        <v>0</v>
      </c>
      <c r="G793">
        <v>0</v>
      </c>
      <c r="H793">
        <v>0</v>
      </c>
      <c r="I793">
        <v>5</v>
      </c>
      <c r="J793">
        <v>5</v>
      </c>
      <c r="K793">
        <v>0.5</v>
      </c>
    </row>
    <row r="794" spans="1:11" x14ac:dyDescent="0.2">
      <c r="A794" t="s">
        <v>126</v>
      </c>
      <c r="B794">
        <v>132</v>
      </c>
      <c r="C794" t="s">
        <v>15</v>
      </c>
      <c r="D794" t="s">
        <v>6</v>
      </c>
      <c r="E794" t="s">
        <v>136</v>
      </c>
      <c r="F794">
        <v>0</v>
      </c>
      <c r="G794">
        <v>1</v>
      </c>
      <c r="H794">
        <v>0</v>
      </c>
      <c r="I794">
        <v>0</v>
      </c>
      <c r="J794">
        <v>1</v>
      </c>
      <c r="K794">
        <v>0.75</v>
      </c>
    </row>
    <row r="795" spans="1:11" x14ac:dyDescent="0.2">
      <c r="A795" t="s">
        <v>126</v>
      </c>
      <c r="B795">
        <v>132</v>
      </c>
      <c r="C795" t="s">
        <v>18</v>
      </c>
      <c r="D795" t="s">
        <v>6</v>
      </c>
      <c r="E795" t="s">
        <v>19</v>
      </c>
      <c r="F795">
        <v>0</v>
      </c>
      <c r="G795">
        <v>0</v>
      </c>
      <c r="H795">
        <v>2</v>
      </c>
      <c r="I795">
        <v>0</v>
      </c>
      <c r="J795">
        <v>2</v>
      </c>
      <c r="K795">
        <v>1</v>
      </c>
    </row>
    <row r="796" spans="1:11" x14ac:dyDescent="0.2">
      <c r="A796" t="s">
        <v>126</v>
      </c>
      <c r="B796">
        <v>132</v>
      </c>
      <c r="C796" t="s">
        <v>23</v>
      </c>
      <c r="D796" t="s">
        <v>2</v>
      </c>
      <c r="E796" t="s">
        <v>58</v>
      </c>
      <c r="F796">
        <v>0</v>
      </c>
      <c r="G796">
        <v>0</v>
      </c>
      <c r="H796">
        <v>1</v>
      </c>
      <c r="I796">
        <v>0</v>
      </c>
      <c r="J796">
        <v>1</v>
      </c>
      <c r="K796">
        <v>0.6</v>
      </c>
    </row>
    <row r="797" spans="1:11" x14ac:dyDescent="0.2">
      <c r="A797" t="s">
        <v>126</v>
      </c>
      <c r="B797">
        <v>132</v>
      </c>
      <c r="C797" t="s">
        <v>27</v>
      </c>
      <c r="D797" t="s">
        <v>6</v>
      </c>
      <c r="E797" t="s">
        <v>41</v>
      </c>
      <c r="F797">
        <v>0</v>
      </c>
      <c r="G797">
        <v>0</v>
      </c>
      <c r="H797">
        <v>0</v>
      </c>
      <c r="I797">
        <v>1</v>
      </c>
      <c r="J797">
        <v>1</v>
      </c>
      <c r="K797">
        <v>0.1</v>
      </c>
    </row>
    <row r="798" spans="1:11" x14ac:dyDescent="0.2">
      <c r="A798" t="s">
        <v>126</v>
      </c>
      <c r="B798">
        <v>132</v>
      </c>
      <c r="C798" t="s">
        <v>27</v>
      </c>
      <c r="D798" t="s">
        <v>2</v>
      </c>
      <c r="E798" t="s">
        <v>42</v>
      </c>
      <c r="F798">
        <v>0</v>
      </c>
      <c r="G798">
        <v>0</v>
      </c>
      <c r="H798">
        <v>0</v>
      </c>
      <c r="I798">
        <v>2</v>
      </c>
      <c r="J798">
        <v>2</v>
      </c>
      <c r="K798">
        <v>0.2</v>
      </c>
    </row>
    <row r="799" spans="1:11" x14ac:dyDescent="0.2">
      <c r="A799" t="s">
        <v>126</v>
      </c>
      <c r="B799">
        <v>133</v>
      </c>
      <c r="C799" t="s">
        <v>4</v>
      </c>
      <c r="D799" t="s">
        <v>2</v>
      </c>
      <c r="E799" t="s">
        <v>32</v>
      </c>
      <c r="F799">
        <v>0</v>
      </c>
      <c r="G799">
        <v>0</v>
      </c>
      <c r="H799">
        <v>0</v>
      </c>
      <c r="I799">
        <v>2</v>
      </c>
      <c r="J799">
        <v>2</v>
      </c>
      <c r="K799">
        <v>0.2</v>
      </c>
    </row>
    <row r="800" spans="1:11" x14ac:dyDescent="0.2">
      <c r="A800" t="s">
        <v>126</v>
      </c>
      <c r="B800">
        <v>133</v>
      </c>
      <c r="C800" t="s">
        <v>15</v>
      </c>
      <c r="D800" t="s">
        <v>2</v>
      </c>
      <c r="E800" t="s">
        <v>16</v>
      </c>
      <c r="F800">
        <v>0</v>
      </c>
      <c r="G800">
        <v>0</v>
      </c>
      <c r="H800">
        <v>0</v>
      </c>
      <c r="I800">
        <v>1</v>
      </c>
      <c r="J800">
        <v>1</v>
      </c>
      <c r="K800">
        <v>0.1</v>
      </c>
    </row>
    <row r="801" spans="1:11" x14ac:dyDescent="0.2">
      <c r="A801" t="s">
        <v>126</v>
      </c>
      <c r="B801">
        <v>133</v>
      </c>
      <c r="C801" t="s">
        <v>23</v>
      </c>
      <c r="D801" t="s">
        <v>33</v>
      </c>
      <c r="E801" t="s">
        <v>34</v>
      </c>
      <c r="F801">
        <v>0</v>
      </c>
      <c r="G801">
        <v>0</v>
      </c>
      <c r="H801">
        <v>2</v>
      </c>
      <c r="I801">
        <v>0</v>
      </c>
      <c r="J801">
        <v>2</v>
      </c>
      <c r="K801">
        <v>1.2</v>
      </c>
    </row>
    <row r="802" spans="1:11" x14ac:dyDescent="0.2">
      <c r="A802" t="s">
        <v>126</v>
      </c>
      <c r="B802">
        <v>134</v>
      </c>
      <c r="C802" t="s">
        <v>4</v>
      </c>
      <c r="D802" t="s">
        <v>2</v>
      </c>
      <c r="E802" t="s">
        <v>9</v>
      </c>
      <c r="F802">
        <v>0</v>
      </c>
      <c r="G802">
        <v>0</v>
      </c>
      <c r="H802">
        <v>1</v>
      </c>
      <c r="I802">
        <v>1</v>
      </c>
      <c r="J802">
        <v>2</v>
      </c>
      <c r="K802">
        <v>0.6</v>
      </c>
    </row>
    <row r="803" spans="1:11" x14ac:dyDescent="0.2">
      <c r="A803" t="s">
        <v>126</v>
      </c>
      <c r="B803">
        <v>134</v>
      </c>
      <c r="C803" t="s">
        <v>4</v>
      </c>
      <c r="D803" t="s">
        <v>2</v>
      </c>
      <c r="E803" t="s">
        <v>32</v>
      </c>
      <c r="F803">
        <v>0</v>
      </c>
      <c r="G803">
        <v>0</v>
      </c>
      <c r="H803">
        <v>0</v>
      </c>
      <c r="I803">
        <v>1</v>
      </c>
      <c r="J803">
        <v>1</v>
      </c>
      <c r="K803">
        <v>0.1</v>
      </c>
    </row>
    <row r="804" spans="1:11" x14ac:dyDescent="0.2">
      <c r="A804" t="s">
        <v>126</v>
      </c>
      <c r="B804">
        <v>134</v>
      </c>
      <c r="C804" t="s">
        <v>23</v>
      </c>
      <c r="D804" t="s">
        <v>33</v>
      </c>
      <c r="E804" t="s">
        <v>34</v>
      </c>
      <c r="F804">
        <v>0</v>
      </c>
      <c r="G804">
        <v>0</v>
      </c>
      <c r="H804">
        <v>1</v>
      </c>
      <c r="I804">
        <v>0</v>
      </c>
      <c r="J804">
        <v>1</v>
      </c>
      <c r="K804">
        <v>0.6</v>
      </c>
    </row>
    <row r="805" spans="1:11" x14ac:dyDescent="0.2">
      <c r="A805" t="s">
        <v>126</v>
      </c>
      <c r="B805">
        <v>134</v>
      </c>
      <c r="C805" t="s">
        <v>23</v>
      </c>
      <c r="D805" t="s">
        <v>33</v>
      </c>
      <c r="E805" t="s">
        <v>40</v>
      </c>
      <c r="F805">
        <v>0</v>
      </c>
      <c r="G805">
        <v>1</v>
      </c>
      <c r="H805">
        <v>0</v>
      </c>
      <c r="I805">
        <v>0</v>
      </c>
      <c r="J805">
        <v>1</v>
      </c>
      <c r="K805">
        <v>0.75</v>
      </c>
    </row>
    <row r="806" spans="1:11" x14ac:dyDescent="0.2">
      <c r="A806" t="s">
        <v>126</v>
      </c>
      <c r="B806">
        <v>134</v>
      </c>
      <c r="C806" t="s">
        <v>23</v>
      </c>
      <c r="D806" t="s">
        <v>2</v>
      </c>
      <c r="E806" t="s">
        <v>35</v>
      </c>
      <c r="F806">
        <v>0</v>
      </c>
      <c r="G806">
        <v>1</v>
      </c>
      <c r="H806">
        <v>0</v>
      </c>
      <c r="I806">
        <v>0</v>
      </c>
      <c r="J806">
        <v>1</v>
      </c>
      <c r="K806">
        <v>0.75</v>
      </c>
    </row>
    <row r="807" spans="1:11" x14ac:dyDescent="0.2">
      <c r="A807" t="s">
        <v>126</v>
      </c>
      <c r="B807">
        <v>134</v>
      </c>
      <c r="C807" t="s">
        <v>27</v>
      </c>
      <c r="D807" t="s">
        <v>2</v>
      </c>
      <c r="E807" t="s">
        <v>42</v>
      </c>
      <c r="F807">
        <v>0</v>
      </c>
      <c r="G807">
        <v>1</v>
      </c>
      <c r="H807">
        <v>0</v>
      </c>
      <c r="I807">
        <v>0</v>
      </c>
      <c r="J807">
        <v>1</v>
      </c>
      <c r="K807">
        <v>0.75</v>
      </c>
    </row>
    <row r="808" spans="1:11" x14ac:dyDescent="0.2">
      <c r="A808" t="s">
        <v>126</v>
      </c>
      <c r="B808">
        <v>135</v>
      </c>
      <c r="C808" t="s">
        <v>4</v>
      </c>
      <c r="D808" t="s">
        <v>33</v>
      </c>
      <c r="E808" t="s">
        <v>65</v>
      </c>
      <c r="F808">
        <v>0</v>
      </c>
      <c r="G808">
        <v>0</v>
      </c>
      <c r="H808">
        <v>1</v>
      </c>
      <c r="I808">
        <v>0</v>
      </c>
      <c r="J808">
        <v>1</v>
      </c>
      <c r="K808">
        <v>0.5</v>
      </c>
    </row>
    <row r="809" spans="1:11" x14ac:dyDescent="0.2">
      <c r="A809" t="s">
        <v>126</v>
      </c>
      <c r="B809">
        <v>135</v>
      </c>
      <c r="C809" t="s">
        <v>4</v>
      </c>
      <c r="D809" t="s">
        <v>2</v>
      </c>
      <c r="E809" t="s">
        <v>32</v>
      </c>
      <c r="F809">
        <v>0</v>
      </c>
      <c r="G809">
        <v>0</v>
      </c>
      <c r="H809">
        <v>0</v>
      </c>
      <c r="I809">
        <v>1</v>
      </c>
      <c r="J809">
        <v>1</v>
      </c>
      <c r="K809">
        <v>0.1</v>
      </c>
    </row>
    <row r="810" spans="1:11" x14ac:dyDescent="0.2">
      <c r="A810" t="s">
        <v>126</v>
      </c>
      <c r="B810">
        <v>135</v>
      </c>
      <c r="C810" t="s">
        <v>1</v>
      </c>
      <c r="D810" t="s">
        <v>2</v>
      </c>
      <c r="E810" t="s">
        <v>92</v>
      </c>
      <c r="F810">
        <v>0</v>
      </c>
      <c r="G810">
        <v>0</v>
      </c>
      <c r="H810">
        <v>0</v>
      </c>
      <c r="I810">
        <v>1</v>
      </c>
      <c r="J810">
        <v>1</v>
      </c>
      <c r="K810">
        <v>0.1</v>
      </c>
    </row>
    <row r="811" spans="1:11" x14ac:dyDescent="0.2">
      <c r="A811" t="s">
        <v>126</v>
      </c>
      <c r="B811">
        <v>135</v>
      </c>
      <c r="C811" t="s">
        <v>15</v>
      </c>
      <c r="D811" t="s">
        <v>2</v>
      </c>
      <c r="E811" t="s">
        <v>16</v>
      </c>
      <c r="F811">
        <v>0</v>
      </c>
      <c r="G811">
        <v>0</v>
      </c>
      <c r="H811">
        <v>0</v>
      </c>
      <c r="I811">
        <v>2</v>
      </c>
      <c r="J811">
        <v>2</v>
      </c>
      <c r="K811">
        <v>0.2</v>
      </c>
    </row>
    <row r="812" spans="1:11" x14ac:dyDescent="0.2">
      <c r="A812" t="s">
        <v>126</v>
      </c>
      <c r="B812">
        <v>135</v>
      </c>
      <c r="C812" t="s">
        <v>15</v>
      </c>
      <c r="D812" t="s">
        <v>33</v>
      </c>
      <c r="E812" t="s">
        <v>67</v>
      </c>
      <c r="F812">
        <v>0</v>
      </c>
      <c r="G812">
        <v>0</v>
      </c>
      <c r="H812">
        <v>1</v>
      </c>
      <c r="I812">
        <v>0</v>
      </c>
      <c r="J812">
        <v>1</v>
      </c>
      <c r="K812">
        <v>0.5</v>
      </c>
    </row>
    <row r="813" spans="1:11" x14ac:dyDescent="0.2">
      <c r="A813" t="s">
        <v>126</v>
      </c>
      <c r="B813">
        <v>135</v>
      </c>
      <c r="C813" t="s">
        <v>18</v>
      </c>
      <c r="D813" t="s">
        <v>2</v>
      </c>
      <c r="E813" t="s">
        <v>21</v>
      </c>
      <c r="F813">
        <v>0</v>
      </c>
      <c r="G813">
        <v>0</v>
      </c>
      <c r="H813">
        <v>0</v>
      </c>
      <c r="I813">
        <v>1</v>
      </c>
      <c r="J813">
        <v>1</v>
      </c>
      <c r="K813">
        <v>0.1</v>
      </c>
    </row>
    <row r="814" spans="1:11" x14ac:dyDescent="0.2">
      <c r="A814" t="s">
        <v>126</v>
      </c>
      <c r="B814">
        <v>135</v>
      </c>
      <c r="C814" t="s">
        <v>18</v>
      </c>
      <c r="D814" t="s">
        <v>6</v>
      </c>
      <c r="E814" t="s">
        <v>93</v>
      </c>
      <c r="F814">
        <v>0</v>
      </c>
      <c r="G814">
        <v>0</v>
      </c>
      <c r="H814">
        <v>0</v>
      </c>
      <c r="I814">
        <v>1</v>
      </c>
      <c r="J814">
        <v>1</v>
      </c>
      <c r="K814">
        <v>0.1</v>
      </c>
    </row>
    <row r="815" spans="1:11" x14ac:dyDescent="0.2">
      <c r="A815" t="s">
        <v>126</v>
      </c>
      <c r="B815">
        <v>135</v>
      </c>
      <c r="C815" t="s">
        <v>23</v>
      </c>
      <c r="D815" t="s">
        <v>33</v>
      </c>
      <c r="E815" t="s">
        <v>34</v>
      </c>
      <c r="F815">
        <v>0</v>
      </c>
      <c r="G815">
        <v>0</v>
      </c>
      <c r="H815">
        <v>1</v>
      </c>
      <c r="I815">
        <v>0</v>
      </c>
      <c r="J815">
        <v>1</v>
      </c>
      <c r="K815">
        <v>0.6</v>
      </c>
    </row>
    <row r="816" spans="1:11" x14ac:dyDescent="0.2">
      <c r="A816" t="s">
        <v>126</v>
      </c>
      <c r="B816">
        <v>136</v>
      </c>
      <c r="C816" t="s">
        <v>4</v>
      </c>
      <c r="D816" t="s">
        <v>33</v>
      </c>
      <c r="E816" t="s">
        <v>65</v>
      </c>
      <c r="F816">
        <v>0</v>
      </c>
      <c r="G816">
        <v>0</v>
      </c>
      <c r="H816">
        <v>2</v>
      </c>
      <c r="I816">
        <v>0</v>
      </c>
      <c r="J816">
        <v>2</v>
      </c>
      <c r="K816">
        <v>1</v>
      </c>
    </row>
    <row r="817" spans="1:11" x14ac:dyDescent="0.2">
      <c r="A817" t="s">
        <v>126</v>
      </c>
      <c r="B817">
        <v>136</v>
      </c>
      <c r="C817" t="s">
        <v>11</v>
      </c>
      <c r="D817" t="s">
        <v>2</v>
      </c>
      <c r="E817" t="s">
        <v>107</v>
      </c>
      <c r="F817">
        <v>0</v>
      </c>
      <c r="G817">
        <v>0</v>
      </c>
      <c r="H817">
        <v>0</v>
      </c>
      <c r="I817">
        <v>2</v>
      </c>
      <c r="J817">
        <v>2</v>
      </c>
      <c r="K817">
        <v>0.2</v>
      </c>
    </row>
    <row r="818" spans="1:11" x14ac:dyDescent="0.2">
      <c r="A818" t="s">
        <v>126</v>
      </c>
      <c r="B818">
        <v>136</v>
      </c>
      <c r="C818" t="s">
        <v>11</v>
      </c>
      <c r="D818" t="s">
        <v>6</v>
      </c>
      <c r="E818" t="s">
        <v>107</v>
      </c>
      <c r="F818">
        <v>0</v>
      </c>
      <c r="G818">
        <v>0</v>
      </c>
      <c r="H818">
        <v>0</v>
      </c>
      <c r="I818">
        <v>2</v>
      </c>
      <c r="J818">
        <v>2</v>
      </c>
      <c r="K818">
        <v>0.2</v>
      </c>
    </row>
    <row r="819" spans="1:11" x14ac:dyDescent="0.2">
      <c r="A819" t="s">
        <v>126</v>
      </c>
      <c r="B819">
        <v>136</v>
      </c>
      <c r="C819" t="s">
        <v>15</v>
      </c>
      <c r="D819" t="s">
        <v>2</v>
      </c>
      <c r="E819" t="s">
        <v>16</v>
      </c>
      <c r="F819">
        <v>0</v>
      </c>
      <c r="G819">
        <v>0</v>
      </c>
      <c r="H819">
        <v>0</v>
      </c>
      <c r="I819">
        <v>1</v>
      </c>
      <c r="J819">
        <v>1</v>
      </c>
      <c r="K819">
        <v>0.1</v>
      </c>
    </row>
    <row r="820" spans="1:11" x14ac:dyDescent="0.2">
      <c r="A820" t="s">
        <v>126</v>
      </c>
      <c r="B820">
        <v>136</v>
      </c>
      <c r="C820" t="s">
        <v>15</v>
      </c>
      <c r="D820" t="s">
        <v>2</v>
      </c>
      <c r="E820" t="s">
        <v>38</v>
      </c>
      <c r="F820">
        <v>0</v>
      </c>
      <c r="G820">
        <v>0</v>
      </c>
      <c r="H820">
        <v>1</v>
      </c>
      <c r="I820">
        <v>0</v>
      </c>
      <c r="J820">
        <v>1</v>
      </c>
      <c r="K820">
        <v>0.5</v>
      </c>
    </row>
    <row r="821" spans="1:11" x14ac:dyDescent="0.2">
      <c r="A821" t="s">
        <v>126</v>
      </c>
      <c r="B821">
        <v>136</v>
      </c>
      <c r="C821" t="s">
        <v>15</v>
      </c>
      <c r="D821" t="s">
        <v>33</v>
      </c>
      <c r="E821" t="s">
        <v>67</v>
      </c>
      <c r="F821">
        <v>0</v>
      </c>
      <c r="G821">
        <v>0</v>
      </c>
      <c r="H821">
        <v>2</v>
      </c>
      <c r="I821">
        <v>0</v>
      </c>
      <c r="J821">
        <v>2</v>
      </c>
      <c r="K821">
        <v>1</v>
      </c>
    </row>
    <row r="822" spans="1:11" x14ac:dyDescent="0.2">
      <c r="A822" t="s">
        <v>126</v>
      </c>
      <c r="B822">
        <v>136</v>
      </c>
      <c r="C822" t="s">
        <v>18</v>
      </c>
      <c r="D822" t="s">
        <v>6</v>
      </c>
      <c r="E822" t="s">
        <v>19</v>
      </c>
      <c r="F822">
        <v>0</v>
      </c>
      <c r="G822">
        <v>0</v>
      </c>
      <c r="H822">
        <v>1</v>
      </c>
      <c r="I822">
        <v>0</v>
      </c>
      <c r="J822">
        <v>1</v>
      </c>
      <c r="K822">
        <v>0.5</v>
      </c>
    </row>
    <row r="823" spans="1:11" x14ac:dyDescent="0.2">
      <c r="A823" t="s">
        <v>126</v>
      </c>
      <c r="B823">
        <v>136</v>
      </c>
      <c r="C823" t="s">
        <v>18</v>
      </c>
      <c r="D823" t="s">
        <v>2</v>
      </c>
      <c r="E823" t="s">
        <v>54</v>
      </c>
      <c r="F823">
        <v>0</v>
      </c>
      <c r="G823">
        <v>0</v>
      </c>
      <c r="H823">
        <v>0</v>
      </c>
      <c r="I823">
        <v>1</v>
      </c>
      <c r="J823">
        <v>1</v>
      </c>
      <c r="K823">
        <v>0.1</v>
      </c>
    </row>
    <row r="824" spans="1:11" x14ac:dyDescent="0.2">
      <c r="A824" t="s">
        <v>126</v>
      </c>
      <c r="B824">
        <v>137</v>
      </c>
      <c r="C824" t="s">
        <v>4</v>
      </c>
      <c r="D824" t="s">
        <v>33</v>
      </c>
      <c r="E824" t="s">
        <v>36</v>
      </c>
      <c r="F824">
        <v>0</v>
      </c>
      <c r="G824">
        <v>1</v>
      </c>
      <c r="H824">
        <v>0</v>
      </c>
      <c r="I824">
        <v>0</v>
      </c>
      <c r="J824">
        <v>1</v>
      </c>
      <c r="K824">
        <v>0.75</v>
      </c>
    </row>
    <row r="825" spans="1:11" x14ac:dyDescent="0.2">
      <c r="A825" t="s">
        <v>126</v>
      </c>
      <c r="B825">
        <v>137</v>
      </c>
      <c r="C825" t="s">
        <v>4</v>
      </c>
      <c r="D825" t="s">
        <v>6</v>
      </c>
      <c r="E825" t="s">
        <v>45</v>
      </c>
      <c r="F825">
        <v>0</v>
      </c>
      <c r="G825">
        <v>2</v>
      </c>
      <c r="H825">
        <v>0</v>
      </c>
      <c r="I825">
        <v>0</v>
      </c>
      <c r="J825">
        <v>2</v>
      </c>
      <c r="K825">
        <v>1.5</v>
      </c>
    </row>
    <row r="826" spans="1:11" x14ac:dyDescent="0.2">
      <c r="A826" t="s">
        <v>126</v>
      </c>
      <c r="B826">
        <v>137</v>
      </c>
      <c r="C826" t="s">
        <v>4</v>
      </c>
      <c r="D826" t="s">
        <v>2</v>
      </c>
      <c r="E826" t="s">
        <v>32</v>
      </c>
      <c r="F826">
        <v>1</v>
      </c>
      <c r="G826">
        <v>0</v>
      </c>
      <c r="H826">
        <v>0</v>
      </c>
      <c r="I826">
        <v>0</v>
      </c>
      <c r="J826">
        <v>1</v>
      </c>
      <c r="K826">
        <v>1</v>
      </c>
    </row>
    <row r="827" spans="1:11" x14ac:dyDescent="0.2">
      <c r="A827" t="s">
        <v>126</v>
      </c>
      <c r="B827">
        <v>137</v>
      </c>
      <c r="C827" t="s">
        <v>11</v>
      </c>
      <c r="D827" t="s">
        <v>2</v>
      </c>
      <c r="E827" t="s">
        <v>30</v>
      </c>
      <c r="F827">
        <v>1</v>
      </c>
      <c r="G827">
        <v>0</v>
      </c>
      <c r="H827">
        <v>0</v>
      </c>
      <c r="I827">
        <v>0</v>
      </c>
      <c r="J827">
        <v>1</v>
      </c>
      <c r="K827">
        <v>1</v>
      </c>
    </row>
    <row r="828" spans="1:11" x14ac:dyDescent="0.2">
      <c r="A828" t="s">
        <v>126</v>
      </c>
      <c r="B828">
        <v>137</v>
      </c>
      <c r="C828" t="s">
        <v>11</v>
      </c>
      <c r="D828" t="s">
        <v>2</v>
      </c>
      <c r="E828" t="s">
        <v>88</v>
      </c>
      <c r="F828">
        <v>0</v>
      </c>
      <c r="G828">
        <v>0</v>
      </c>
      <c r="H828">
        <v>0</v>
      </c>
      <c r="I828">
        <v>2</v>
      </c>
      <c r="J828">
        <v>2</v>
      </c>
      <c r="K828">
        <v>0.2</v>
      </c>
    </row>
    <row r="829" spans="1:11" x14ac:dyDescent="0.2">
      <c r="A829" t="s">
        <v>126</v>
      </c>
      <c r="B829">
        <v>137</v>
      </c>
      <c r="C829" t="s">
        <v>1</v>
      </c>
      <c r="D829" t="s">
        <v>33</v>
      </c>
      <c r="E829" t="s">
        <v>45</v>
      </c>
      <c r="F829">
        <v>0</v>
      </c>
      <c r="G829">
        <v>2</v>
      </c>
      <c r="H829">
        <v>0</v>
      </c>
      <c r="I829">
        <v>0</v>
      </c>
      <c r="J829">
        <v>2</v>
      </c>
      <c r="K829">
        <v>1.5</v>
      </c>
    </row>
    <row r="830" spans="1:11" x14ac:dyDescent="0.2">
      <c r="A830" t="s">
        <v>126</v>
      </c>
      <c r="B830">
        <v>137</v>
      </c>
      <c r="C830" t="s">
        <v>18</v>
      </c>
      <c r="D830" t="s">
        <v>2</v>
      </c>
      <c r="E830" t="s">
        <v>79</v>
      </c>
      <c r="F830">
        <v>1</v>
      </c>
      <c r="G830">
        <v>0</v>
      </c>
      <c r="H830">
        <v>0</v>
      </c>
      <c r="I830">
        <v>0</v>
      </c>
      <c r="J830">
        <v>1</v>
      </c>
      <c r="K830">
        <v>1</v>
      </c>
    </row>
    <row r="831" spans="1:11" x14ac:dyDescent="0.2">
      <c r="A831" t="s">
        <v>126</v>
      </c>
      <c r="B831">
        <v>137</v>
      </c>
      <c r="C831" t="s">
        <v>18</v>
      </c>
      <c r="D831" t="s">
        <v>6</v>
      </c>
      <c r="E831" t="s">
        <v>79</v>
      </c>
      <c r="F831">
        <v>1</v>
      </c>
      <c r="G831">
        <v>0</v>
      </c>
      <c r="H831">
        <v>0</v>
      </c>
      <c r="I831">
        <v>0</v>
      </c>
      <c r="J831">
        <v>1</v>
      </c>
      <c r="K831">
        <v>1</v>
      </c>
    </row>
    <row r="832" spans="1:11" x14ac:dyDescent="0.2">
      <c r="A832" t="s">
        <v>126</v>
      </c>
      <c r="B832">
        <v>137</v>
      </c>
      <c r="C832" t="s">
        <v>23</v>
      </c>
      <c r="D832" t="s">
        <v>33</v>
      </c>
      <c r="E832" t="s">
        <v>34</v>
      </c>
      <c r="F832">
        <v>0</v>
      </c>
      <c r="G832">
        <v>1</v>
      </c>
      <c r="H832">
        <v>0</v>
      </c>
      <c r="I832">
        <v>0</v>
      </c>
      <c r="J832">
        <v>1</v>
      </c>
      <c r="K832">
        <v>0.75</v>
      </c>
    </row>
    <row r="833" spans="1:11" x14ac:dyDescent="0.2">
      <c r="A833" t="s">
        <v>126</v>
      </c>
      <c r="B833">
        <v>137</v>
      </c>
      <c r="C833" t="s">
        <v>23</v>
      </c>
      <c r="D833" t="s">
        <v>2</v>
      </c>
      <c r="E833" t="s">
        <v>58</v>
      </c>
      <c r="F833">
        <v>0</v>
      </c>
      <c r="G833">
        <v>1</v>
      </c>
      <c r="H833">
        <v>1</v>
      </c>
      <c r="I833">
        <v>0</v>
      </c>
      <c r="J833">
        <v>2</v>
      </c>
      <c r="K833">
        <v>1.35</v>
      </c>
    </row>
    <row r="834" spans="1:11" x14ac:dyDescent="0.2">
      <c r="A834" t="s">
        <v>126</v>
      </c>
      <c r="B834">
        <v>137</v>
      </c>
      <c r="C834" t="s">
        <v>23</v>
      </c>
      <c r="D834" t="s">
        <v>2</v>
      </c>
      <c r="E834" t="s">
        <v>35</v>
      </c>
      <c r="F834">
        <v>0</v>
      </c>
      <c r="G834">
        <v>0</v>
      </c>
      <c r="H834">
        <v>0</v>
      </c>
      <c r="I834">
        <v>1</v>
      </c>
      <c r="J834">
        <v>1</v>
      </c>
      <c r="K834">
        <v>0.1</v>
      </c>
    </row>
    <row r="835" spans="1:11" x14ac:dyDescent="0.2">
      <c r="A835" t="s">
        <v>126</v>
      </c>
      <c r="B835">
        <v>137</v>
      </c>
      <c r="C835" t="s">
        <v>27</v>
      </c>
      <c r="D835" t="s">
        <v>6</v>
      </c>
      <c r="E835" t="s">
        <v>41</v>
      </c>
      <c r="F835">
        <v>0</v>
      </c>
      <c r="G835">
        <v>0</v>
      </c>
      <c r="H835">
        <v>1</v>
      </c>
      <c r="I835">
        <v>0</v>
      </c>
      <c r="J835">
        <v>1</v>
      </c>
      <c r="K835">
        <v>0.5</v>
      </c>
    </row>
    <row r="836" spans="1:11" x14ac:dyDescent="0.2">
      <c r="A836" t="s">
        <v>126</v>
      </c>
      <c r="B836">
        <v>137</v>
      </c>
      <c r="C836" t="s">
        <v>27</v>
      </c>
      <c r="D836" t="s">
        <v>2</v>
      </c>
      <c r="E836" t="s">
        <v>42</v>
      </c>
      <c r="F836">
        <v>0</v>
      </c>
      <c r="G836">
        <v>1</v>
      </c>
      <c r="H836">
        <v>0</v>
      </c>
      <c r="I836">
        <v>0</v>
      </c>
      <c r="J836">
        <v>1</v>
      </c>
      <c r="K836">
        <v>0.75</v>
      </c>
    </row>
    <row r="837" spans="1:11" x14ac:dyDescent="0.2">
      <c r="A837" t="s">
        <v>126</v>
      </c>
      <c r="B837">
        <v>137</v>
      </c>
      <c r="C837" t="s">
        <v>27</v>
      </c>
      <c r="D837" t="s">
        <v>33</v>
      </c>
      <c r="E837" t="s">
        <v>91</v>
      </c>
      <c r="F837">
        <v>0</v>
      </c>
      <c r="G837">
        <v>0</v>
      </c>
      <c r="H837">
        <v>2</v>
      </c>
      <c r="I837">
        <v>0</v>
      </c>
      <c r="J837">
        <v>2</v>
      </c>
      <c r="K837">
        <v>1</v>
      </c>
    </row>
    <row r="838" spans="1:11" x14ac:dyDescent="0.2">
      <c r="A838" t="s">
        <v>126</v>
      </c>
      <c r="B838">
        <v>138</v>
      </c>
      <c r="C838" t="s">
        <v>4</v>
      </c>
      <c r="D838" t="s">
        <v>2</v>
      </c>
      <c r="E838" t="s">
        <v>5</v>
      </c>
      <c r="F838">
        <v>0</v>
      </c>
      <c r="G838">
        <v>0</v>
      </c>
      <c r="H838">
        <v>1</v>
      </c>
      <c r="I838">
        <v>0</v>
      </c>
      <c r="J838">
        <v>1</v>
      </c>
      <c r="K838">
        <v>0.5</v>
      </c>
    </row>
    <row r="839" spans="1:11" x14ac:dyDescent="0.2">
      <c r="A839" t="s">
        <v>126</v>
      </c>
      <c r="B839">
        <v>138</v>
      </c>
      <c r="C839" t="s">
        <v>4</v>
      </c>
      <c r="D839" t="s">
        <v>6</v>
      </c>
      <c r="E839" t="s">
        <v>5</v>
      </c>
      <c r="F839">
        <v>0</v>
      </c>
      <c r="G839">
        <v>0</v>
      </c>
      <c r="H839">
        <v>1</v>
      </c>
      <c r="I839">
        <v>0</v>
      </c>
      <c r="J839">
        <v>1</v>
      </c>
      <c r="K839">
        <v>0.5</v>
      </c>
    </row>
    <row r="840" spans="1:11" x14ac:dyDescent="0.2">
      <c r="A840" t="s">
        <v>126</v>
      </c>
      <c r="B840">
        <v>138</v>
      </c>
      <c r="C840" t="s">
        <v>4</v>
      </c>
      <c r="D840" t="s">
        <v>6</v>
      </c>
      <c r="E840" t="s">
        <v>10</v>
      </c>
      <c r="F840">
        <v>0</v>
      </c>
      <c r="G840">
        <v>15</v>
      </c>
      <c r="H840">
        <v>0</v>
      </c>
      <c r="I840">
        <v>0</v>
      </c>
      <c r="J840">
        <v>15</v>
      </c>
      <c r="K840">
        <v>11.25</v>
      </c>
    </row>
    <row r="841" spans="1:11" x14ac:dyDescent="0.2">
      <c r="A841" t="s">
        <v>126</v>
      </c>
      <c r="B841">
        <v>138</v>
      </c>
      <c r="C841" t="s">
        <v>15</v>
      </c>
      <c r="D841" t="s">
        <v>2</v>
      </c>
      <c r="E841" t="s">
        <v>16</v>
      </c>
      <c r="F841">
        <v>0</v>
      </c>
      <c r="G841">
        <v>0</v>
      </c>
      <c r="H841">
        <v>1</v>
      </c>
      <c r="I841">
        <v>0</v>
      </c>
      <c r="J841">
        <v>1</v>
      </c>
      <c r="K841">
        <v>0.5</v>
      </c>
    </row>
    <row r="842" spans="1:11" x14ac:dyDescent="0.2">
      <c r="A842" t="s">
        <v>126</v>
      </c>
      <c r="B842">
        <v>138</v>
      </c>
      <c r="C842" t="s">
        <v>18</v>
      </c>
      <c r="D842" t="s">
        <v>2</v>
      </c>
      <c r="E842" t="s">
        <v>20</v>
      </c>
      <c r="F842">
        <v>0</v>
      </c>
      <c r="G842">
        <v>0</v>
      </c>
      <c r="H842">
        <v>0</v>
      </c>
      <c r="I842">
        <v>1</v>
      </c>
      <c r="J842">
        <v>1</v>
      </c>
      <c r="K842">
        <v>0.1</v>
      </c>
    </row>
    <row r="843" spans="1:11" x14ac:dyDescent="0.2">
      <c r="A843" t="s">
        <v>126</v>
      </c>
      <c r="B843">
        <v>138</v>
      </c>
      <c r="C843" t="s">
        <v>23</v>
      </c>
      <c r="D843" t="s">
        <v>2</v>
      </c>
      <c r="E843" t="s">
        <v>10</v>
      </c>
      <c r="F843">
        <v>0</v>
      </c>
      <c r="G843">
        <v>15</v>
      </c>
      <c r="H843">
        <v>0</v>
      </c>
      <c r="I843">
        <v>0</v>
      </c>
      <c r="J843">
        <v>15</v>
      </c>
      <c r="K843">
        <v>11.25</v>
      </c>
    </row>
    <row r="844" spans="1:11" x14ac:dyDescent="0.2">
      <c r="A844" t="s">
        <v>126</v>
      </c>
      <c r="B844">
        <v>138</v>
      </c>
      <c r="C844" t="s">
        <v>23</v>
      </c>
      <c r="D844" t="s">
        <v>6</v>
      </c>
      <c r="E844" t="s">
        <v>25</v>
      </c>
      <c r="F844">
        <v>0</v>
      </c>
      <c r="G844">
        <v>15</v>
      </c>
      <c r="H844">
        <v>0</v>
      </c>
      <c r="I844">
        <v>0</v>
      </c>
      <c r="J844">
        <v>15</v>
      </c>
      <c r="K844">
        <v>11.25</v>
      </c>
    </row>
    <row r="845" spans="1:11" x14ac:dyDescent="0.2">
      <c r="A845" t="s">
        <v>126</v>
      </c>
      <c r="B845">
        <v>138</v>
      </c>
      <c r="C845" t="s">
        <v>27</v>
      </c>
      <c r="D845" t="s">
        <v>2</v>
      </c>
      <c r="E845" t="s">
        <v>5</v>
      </c>
      <c r="F845">
        <v>0</v>
      </c>
      <c r="G845">
        <v>0</v>
      </c>
      <c r="H845">
        <v>1</v>
      </c>
      <c r="I845">
        <v>0</v>
      </c>
      <c r="J845">
        <v>1</v>
      </c>
      <c r="K845">
        <v>0.5</v>
      </c>
    </row>
    <row r="846" spans="1:11" x14ac:dyDescent="0.2">
      <c r="A846" t="s">
        <v>126</v>
      </c>
      <c r="B846">
        <v>138</v>
      </c>
      <c r="C846" t="s">
        <v>27</v>
      </c>
      <c r="D846" t="s">
        <v>2</v>
      </c>
      <c r="E846" t="s">
        <v>31</v>
      </c>
      <c r="F846">
        <v>1</v>
      </c>
      <c r="G846">
        <v>0</v>
      </c>
      <c r="H846">
        <v>0</v>
      </c>
      <c r="I846">
        <v>0</v>
      </c>
      <c r="J846">
        <v>1</v>
      </c>
      <c r="K846">
        <v>1</v>
      </c>
    </row>
    <row r="847" spans="1:11" x14ac:dyDescent="0.2">
      <c r="A847" t="s">
        <v>126</v>
      </c>
      <c r="B847">
        <v>139</v>
      </c>
      <c r="C847" t="s">
        <v>4</v>
      </c>
      <c r="D847" t="s">
        <v>6</v>
      </c>
      <c r="E847" t="s">
        <v>10</v>
      </c>
      <c r="F847">
        <v>0</v>
      </c>
      <c r="G847">
        <v>22</v>
      </c>
      <c r="H847">
        <v>0</v>
      </c>
      <c r="I847">
        <v>0</v>
      </c>
      <c r="J847">
        <v>22</v>
      </c>
      <c r="K847">
        <v>16.5</v>
      </c>
    </row>
    <row r="848" spans="1:11" x14ac:dyDescent="0.2">
      <c r="A848" t="s">
        <v>126</v>
      </c>
      <c r="B848">
        <v>139</v>
      </c>
      <c r="C848" t="s">
        <v>11</v>
      </c>
      <c r="D848" t="s">
        <v>6</v>
      </c>
      <c r="E848" t="s">
        <v>78</v>
      </c>
      <c r="F848">
        <v>0</v>
      </c>
      <c r="G848">
        <v>0</v>
      </c>
      <c r="H848">
        <v>1</v>
      </c>
      <c r="I848">
        <v>0</v>
      </c>
      <c r="J848">
        <v>1</v>
      </c>
      <c r="K848">
        <v>0.5</v>
      </c>
    </row>
    <row r="849" spans="1:11" x14ac:dyDescent="0.2">
      <c r="A849" t="s">
        <v>126</v>
      </c>
      <c r="B849">
        <v>139</v>
      </c>
      <c r="C849" t="s">
        <v>11</v>
      </c>
      <c r="D849" t="s">
        <v>2</v>
      </c>
      <c r="E849" t="s">
        <v>62</v>
      </c>
      <c r="F849">
        <v>0</v>
      </c>
      <c r="G849">
        <v>0</v>
      </c>
      <c r="H849">
        <v>1</v>
      </c>
      <c r="I849">
        <v>0</v>
      </c>
      <c r="J849">
        <v>1</v>
      </c>
      <c r="K849">
        <v>0.5</v>
      </c>
    </row>
    <row r="850" spans="1:11" x14ac:dyDescent="0.2">
      <c r="A850" t="s">
        <v>126</v>
      </c>
      <c r="B850">
        <v>139</v>
      </c>
      <c r="C850" t="s">
        <v>1</v>
      </c>
      <c r="D850" t="s">
        <v>2</v>
      </c>
      <c r="E850" t="s">
        <v>92</v>
      </c>
      <c r="F850">
        <v>0</v>
      </c>
      <c r="G850">
        <v>0</v>
      </c>
      <c r="H850">
        <v>1</v>
      </c>
      <c r="I850">
        <v>0</v>
      </c>
      <c r="J850">
        <v>1</v>
      </c>
      <c r="K850">
        <v>0.5</v>
      </c>
    </row>
    <row r="851" spans="1:11" x14ac:dyDescent="0.2">
      <c r="A851" t="s">
        <v>126</v>
      </c>
      <c r="B851">
        <v>139</v>
      </c>
      <c r="C851" t="s">
        <v>15</v>
      </c>
      <c r="D851" t="s">
        <v>2</v>
      </c>
      <c r="E851" t="s">
        <v>16</v>
      </c>
      <c r="F851">
        <v>0</v>
      </c>
      <c r="G851">
        <v>0</v>
      </c>
      <c r="H851">
        <v>1</v>
      </c>
      <c r="I851">
        <v>0</v>
      </c>
      <c r="J851">
        <v>1</v>
      </c>
      <c r="K851">
        <v>0.5</v>
      </c>
    </row>
    <row r="852" spans="1:11" x14ac:dyDescent="0.2">
      <c r="A852" t="s">
        <v>126</v>
      </c>
      <c r="B852">
        <v>139</v>
      </c>
      <c r="C852" t="s">
        <v>18</v>
      </c>
      <c r="D852" t="s">
        <v>6</v>
      </c>
      <c r="E852" t="s">
        <v>93</v>
      </c>
      <c r="F852">
        <v>0</v>
      </c>
      <c r="G852">
        <v>0</v>
      </c>
      <c r="H852">
        <v>1</v>
      </c>
      <c r="I852">
        <v>0</v>
      </c>
      <c r="J852">
        <v>1</v>
      </c>
      <c r="K852">
        <v>0.6</v>
      </c>
    </row>
    <row r="853" spans="1:11" x14ac:dyDescent="0.2">
      <c r="A853" t="s">
        <v>126</v>
      </c>
      <c r="B853">
        <v>139</v>
      </c>
      <c r="C853" t="s">
        <v>18</v>
      </c>
      <c r="D853" t="s">
        <v>2</v>
      </c>
      <c r="E853" t="s">
        <v>62</v>
      </c>
      <c r="F853">
        <v>0</v>
      </c>
      <c r="G853">
        <v>0</v>
      </c>
      <c r="H853">
        <v>1</v>
      </c>
      <c r="I853">
        <v>0</v>
      </c>
      <c r="J853">
        <v>1</v>
      </c>
      <c r="K853">
        <v>0.5</v>
      </c>
    </row>
    <row r="854" spans="1:11" x14ac:dyDescent="0.2">
      <c r="A854" t="s">
        <v>126</v>
      </c>
      <c r="B854">
        <v>139</v>
      </c>
      <c r="C854" t="s">
        <v>18</v>
      </c>
      <c r="D854" t="s">
        <v>6</v>
      </c>
      <c r="E854" t="s">
        <v>134</v>
      </c>
      <c r="F854">
        <v>0</v>
      </c>
      <c r="G854">
        <v>0</v>
      </c>
      <c r="H854">
        <v>1</v>
      </c>
      <c r="I854">
        <v>0</v>
      </c>
      <c r="J854">
        <v>1</v>
      </c>
      <c r="K854">
        <v>0.5</v>
      </c>
    </row>
    <row r="855" spans="1:11" x14ac:dyDescent="0.2">
      <c r="A855" t="s">
        <v>126</v>
      </c>
      <c r="B855">
        <v>139</v>
      </c>
      <c r="C855" t="s">
        <v>23</v>
      </c>
      <c r="D855" t="s">
        <v>2</v>
      </c>
      <c r="E855" t="s">
        <v>111</v>
      </c>
      <c r="F855">
        <v>1</v>
      </c>
      <c r="G855">
        <v>0</v>
      </c>
      <c r="H855">
        <v>0</v>
      </c>
      <c r="I855">
        <v>0</v>
      </c>
      <c r="J855">
        <v>1</v>
      </c>
      <c r="K855">
        <v>1</v>
      </c>
    </row>
    <row r="856" spans="1:11" x14ac:dyDescent="0.2">
      <c r="A856" t="s">
        <v>126</v>
      </c>
      <c r="B856">
        <v>139</v>
      </c>
      <c r="C856" t="s">
        <v>23</v>
      </c>
      <c r="D856" t="s">
        <v>2</v>
      </c>
      <c r="E856" t="s">
        <v>10</v>
      </c>
      <c r="F856">
        <v>0</v>
      </c>
      <c r="G856">
        <v>22</v>
      </c>
      <c r="H856">
        <v>0</v>
      </c>
      <c r="I856">
        <v>0</v>
      </c>
      <c r="J856">
        <v>22</v>
      </c>
      <c r="K856">
        <v>16.5</v>
      </c>
    </row>
    <row r="857" spans="1:11" x14ac:dyDescent="0.2">
      <c r="A857" t="s">
        <v>126</v>
      </c>
      <c r="B857">
        <v>139</v>
      </c>
      <c r="C857" t="s">
        <v>23</v>
      </c>
      <c r="D857" t="s">
        <v>6</v>
      </c>
      <c r="E857" t="s">
        <v>25</v>
      </c>
      <c r="F857">
        <v>0</v>
      </c>
      <c r="G857">
        <v>22</v>
      </c>
      <c r="H857">
        <v>0</v>
      </c>
      <c r="I857">
        <v>0</v>
      </c>
      <c r="J857">
        <v>22</v>
      </c>
      <c r="K857">
        <v>16.5</v>
      </c>
    </row>
    <row r="858" spans="1:11" x14ac:dyDescent="0.2">
      <c r="A858" t="s">
        <v>126</v>
      </c>
      <c r="B858">
        <v>139</v>
      </c>
      <c r="C858" t="s">
        <v>27</v>
      </c>
      <c r="D858" t="s">
        <v>6</v>
      </c>
      <c r="E858" t="s">
        <v>41</v>
      </c>
      <c r="F858">
        <v>0</v>
      </c>
      <c r="G858">
        <v>0</v>
      </c>
      <c r="H858">
        <v>1</v>
      </c>
      <c r="I858">
        <v>0</v>
      </c>
      <c r="J858">
        <v>1</v>
      </c>
      <c r="K858">
        <v>0.6</v>
      </c>
    </row>
    <row r="859" spans="1:11" x14ac:dyDescent="0.2">
      <c r="A859" t="s">
        <v>126</v>
      </c>
      <c r="B859">
        <v>140</v>
      </c>
      <c r="C859" t="s">
        <v>4</v>
      </c>
      <c r="D859" t="s">
        <v>2</v>
      </c>
      <c r="E859" t="s">
        <v>7</v>
      </c>
      <c r="F859">
        <v>0</v>
      </c>
      <c r="G859">
        <v>0</v>
      </c>
      <c r="H859">
        <v>2</v>
      </c>
      <c r="I859">
        <v>0</v>
      </c>
      <c r="J859">
        <v>2</v>
      </c>
      <c r="K859">
        <v>1</v>
      </c>
    </row>
    <row r="860" spans="1:11" x14ac:dyDescent="0.2">
      <c r="A860" t="s">
        <v>126</v>
      </c>
      <c r="B860">
        <v>140</v>
      </c>
      <c r="C860" t="s">
        <v>4</v>
      </c>
      <c r="D860" t="s">
        <v>6</v>
      </c>
      <c r="E860" t="s">
        <v>10</v>
      </c>
      <c r="F860">
        <v>0</v>
      </c>
      <c r="G860">
        <v>7</v>
      </c>
      <c r="H860">
        <v>2</v>
      </c>
      <c r="I860">
        <v>1</v>
      </c>
      <c r="J860">
        <v>10</v>
      </c>
      <c r="K860">
        <v>6.35</v>
      </c>
    </row>
    <row r="861" spans="1:11" x14ac:dyDescent="0.2">
      <c r="A861" t="s">
        <v>126</v>
      </c>
      <c r="B861">
        <v>140</v>
      </c>
      <c r="C861" t="s">
        <v>4</v>
      </c>
      <c r="D861" t="s">
        <v>63</v>
      </c>
      <c r="E861" t="s">
        <v>114</v>
      </c>
      <c r="F861">
        <v>0</v>
      </c>
      <c r="G861">
        <v>1</v>
      </c>
      <c r="H861">
        <v>0</v>
      </c>
      <c r="I861">
        <v>0</v>
      </c>
      <c r="J861">
        <v>1</v>
      </c>
      <c r="K861">
        <v>0.75</v>
      </c>
    </row>
    <row r="862" spans="1:11" x14ac:dyDescent="0.2">
      <c r="A862" t="s">
        <v>126</v>
      </c>
      <c r="B862">
        <v>140</v>
      </c>
      <c r="C862" t="s">
        <v>11</v>
      </c>
      <c r="D862" t="s">
        <v>2</v>
      </c>
      <c r="E862" t="s">
        <v>76</v>
      </c>
      <c r="F862">
        <v>0</v>
      </c>
      <c r="G862">
        <v>0</v>
      </c>
      <c r="H862">
        <v>0</v>
      </c>
      <c r="I862">
        <v>1</v>
      </c>
      <c r="J862">
        <v>1</v>
      </c>
      <c r="K862">
        <v>0.1</v>
      </c>
    </row>
    <row r="863" spans="1:11" x14ac:dyDescent="0.2">
      <c r="A863" t="s">
        <v>126</v>
      </c>
      <c r="B863">
        <v>140</v>
      </c>
      <c r="C863" t="s">
        <v>18</v>
      </c>
      <c r="D863" t="s">
        <v>2</v>
      </c>
      <c r="E863" t="s">
        <v>20</v>
      </c>
      <c r="F863">
        <v>0</v>
      </c>
      <c r="G863">
        <v>0</v>
      </c>
      <c r="H863">
        <v>1</v>
      </c>
      <c r="I863">
        <v>0</v>
      </c>
      <c r="J863">
        <v>1</v>
      </c>
      <c r="K863">
        <v>0.5</v>
      </c>
    </row>
    <row r="864" spans="1:11" x14ac:dyDescent="0.2">
      <c r="A864" t="s">
        <v>126</v>
      </c>
      <c r="B864">
        <v>140</v>
      </c>
      <c r="C864" t="s">
        <v>18</v>
      </c>
      <c r="D864" t="s">
        <v>2</v>
      </c>
      <c r="E864" t="s">
        <v>21</v>
      </c>
      <c r="F864">
        <v>0</v>
      </c>
      <c r="G864">
        <v>0</v>
      </c>
      <c r="H864">
        <v>0</v>
      </c>
      <c r="I864">
        <v>1</v>
      </c>
      <c r="J864">
        <v>1</v>
      </c>
      <c r="K864">
        <v>0.1</v>
      </c>
    </row>
    <row r="865" spans="1:11" x14ac:dyDescent="0.2">
      <c r="A865" t="s">
        <v>126</v>
      </c>
      <c r="B865">
        <v>140</v>
      </c>
      <c r="C865" t="s">
        <v>23</v>
      </c>
      <c r="D865" t="s">
        <v>2</v>
      </c>
      <c r="E865" t="s">
        <v>10</v>
      </c>
      <c r="F865">
        <v>0</v>
      </c>
      <c r="G865">
        <v>7</v>
      </c>
      <c r="H865">
        <v>2</v>
      </c>
      <c r="I865">
        <v>1</v>
      </c>
      <c r="J865">
        <v>10</v>
      </c>
      <c r="K865">
        <v>6.35</v>
      </c>
    </row>
    <row r="866" spans="1:11" x14ac:dyDescent="0.2">
      <c r="A866" t="s">
        <v>126</v>
      </c>
      <c r="B866">
        <v>140</v>
      </c>
      <c r="C866" t="s">
        <v>23</v>
      </c>
      <c r="D866" t="s">
        <v>6</v>
      </c>
      <c r="E866" t="s">
        <v>25</v>
      </c>
      <c r="F866">
        <v>0</v>
      </c>
      <c r="G866">
        <v>7</v>
      </c>
      <c r="H866">
        <v>2</v>
      </c>
      <c r="I866">
        <v>1</v>
      </c>
      <c r="J866">
        <v>10</v>
      </c>
      <c r="K866">
        <v>6.35</v>
      </c>
    </row>
    <row r="867" spans="1:11" x14ac:dyDescent="0.2">
      <c r="A867" t="s">
        <v>126</v>
      </c>
      <c r="B867">
        <v>140</v>
      </c>
      <c r="C867" t="s">
        <v>27</v>
      </c>
      <c r="D867" t="s">
        <v>2</v>
      </c>
      <c r="E867" t="s">
        <v>87</v>
      </c>
      <c r="F867">
        <v>0</v>
      </c>
      <c r="G867">
        <v>1</v>
      </c>
      <c r="H867">
        <v>0</v>
      </c>
      <c r="I867">
        <v>0</v>
      </c>
      <c r="J867">
        <v>1</v>
      </c>
      <c r="K867">
        <v>0.75</v>
      </c>
    </row>
  </sheetData>
  <conditionalFormatting sqref="U2:U132">
    <cfRule type="colorScale" priority="1">
      <colorScale>
        <cfvo type="min"/>
        <cfvo type="max"/>
        <color rgb="FFFCFCFF"/>
        <color rgb="FFF8696B"/>
      </colorScale>
    </cfRule>
  </conditionalFormatting>
  <conditionalFormatting sqref="W2:W132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8740157499999996" bottom="0.78740157499999996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A18BE-F4B1-4B4B-AE1B-989FEFDBEDF4}">
  <dimension ref="A1:Y1069"/>
  <sheetViews>
    <sheetView topLeftCell="K108" workbookViewId="0">
      <selection activeCell="V136" sqref="V136"/>
    </sheetView>
  </sheetViews>
  <sheetFormatPr baseColWidth="10" defaultRowHeight="16" x14ac:dyDescent="0.2"/>
  <sheetData>
    <row r="1" spans="1:25" x14ac:dyDescent="0.2">
      <c r="A1" t="s">
        <v>115</v>
      </c>
      <c r="B1" t="s">
        <v>116</v>
      </c>
      <c r="C1" t="s">
        <v>117</v>
      </c>
      <c r="D1" t="s">
        <v>118</v>
      </c>
      <c r="E1" t="s">
        <v>119</v>
      </c>
      <c r="F1" t="s">
        <v>120</v>
      </c>
      <c r="G1" t="s">
        <v>121</v>
      </c>
      <c r="H1" t="s">
        <v>122</v>
      </c>
      <c r="I1" t="s">
        <v>123</v>
      </c>
      <c r="J1" t="s">
        <v>124</v>
      </c>
      <c r="K1" t="s">
        <v>125</v>
      </c>
      <c r="M1" t="s">
        <v>116</v>
      </c>
      <c r="N1" t="s">
        <v>137</v>
      </c>
      <c r="O1" t="s">
        <v>138</v>
      </c>
      <c r="Q1" t="s">
        <v>116</v>
      </c>
      <c r="R1" t="s">
        <v>139</v>
      </c>
      <c r="S1" t="s">
        <v>137</v>
      </c>
      <c r="T1" t="s">
        <v>138</v>
      </c>
      <c r="U1" t="s">
        <v>140</v>
      </c>
      <c r="V1" t="s">
        <v>141</v>
      </c>
      <c r="W1" t="s">
        <v>142</v>
      </c>
      <c r="X1" t="s">
        <v>143</v>
      </c>
      <c r="Y1" t="s">
        <v>146</v>
      </c>
    </row>
    <row r="2" spans="1:25" x14ac:dyDescent="0.2">
      <c r="A2" t="s">
        <v>0</v>
      </c>
      <c r="B2">
        <v>1</v>
      </c>
      <c r="C2" t="s">
        <v>1</v>
      </c>
      <c r="D2" t="s">
        <v>2</v>
      </c>
      <c r="E2" t="s">
        <v>3</v>
      </c>
      <c r="F2">
        <v>0</v>
      </c>
      <c r="G2">
        <v>0</v>
      </c>
      <c r="H2">
        <v>0</v>
      </c>
      <c r="I2">
        <v>1</v>
      </c>
      <c r="J2">
        <v>1</v>
      </c>
      <c r="K2">
        <v>0.1</v>
      </c>
      <c r="M2" cm="1">
        <f t="array" ref="M2:M139">_xlfn.UNIQUE(B$2:B$1069)</f>
        <v>1</v>
      </c>
      <c r="N2">
        <f t="shared" ref="N2:N33" si="0">COUNTIF(B$2:B$1069, M2)</f>
        <v>1</v>
      </c>
      <c r="O2">
        <f>RANK(N2, $N$2:$N$139)</f>
        <v>135</v>
      </c>
      <c r="Q2">
        <v>1</v>
      </c>
      <c r="R2" s="1">
        <f>Tabelle3[[#This Row],[Seite]]-0</f>
        <v>1</v>
      </c>
      <c r="S2">
        <v>1</v>
      </c>
      <c r="T2">
        <v>135</v>
      </c>
      <c r="U2" s="2" cm="1">
        <f t="array" ref="U2">SUMPRODUCT((Tabelle2[Seite]=Q2)*Tabelle2[Score_Gewichtet])</f>
        <v>0.1</v>
      </c>
      <c r="V2" s="2"/>
    </row>
    <row r="3" spans="1:25" x14ac:dyDescent="0.2">
      <c r="A3" t="s">
        <v>0</v>
      </c>
      <c r="B3">
        <v>2</v>
      </c>
      <c r="C3" t="s">
        <v>4</v>
      </c>
      <c r="D3" t="s">
        <v>2</v>
      </c>
      <c r="E3" t="s">
        <v>5</v>
      </c>
      <c r="F3">
        <v>0</v>
      </c>
      <c r="G3">
        <v>0</v>
      </c>
      <c r="H3">
        <v>0</v>
      </c>
      <c r="I3">
        <v>1</v>
      </c>
      <c r="J3">
        <v>1</v>
      </c>
      <c r="K3">
        <v>0.1</v>
      </c>
      <c r="M3">
        <v>2</v>
      </c>
      <c r="N3">
        <f t="shared" si="0"/>
        <v>22</v>
      </c>
      <c r="O3">
        <f t="shared" ref="O3:O66" si="1">RANK(N3, $N$2:$N$139)</f>
        <v>2</v>
      </c>
      <c r="Q3">
        <v>2</v>
      </c>
      <c r="R3" s="1">
        <f>Tabelle3[[#This Row],[Seite]]-0</f>
        <v>2</v>
      </c>
      <c r="S3">
        <v>22</v>
      </c>
      <c r="T3">
        <v>2</v>
      </c>
      <c r="U3" s="2" cm="1">
        <f t="array" ref="U3">SUMPRODUCT((Tabelle2[Seite]=Q3)*Tabelle2[Score_Gewichtet])</f>
        <v>10.049999999999997</v>
      </c>
      <c r="V3" s="2"/>
    </row>
    <row r="4" spans="1:25" x14ac:dyDescent="0.2">
      <c r="A4" t="s">
        <v>0</v>
      </c>
      <c r="B4">
        <v>2</v>
      </c>
      <c r="C4" t="s">
        <v>4</v>
      </c>
      <c r="D4" t="s">
        <v>6</v>
      </c>
      <c r="E4" t="s">
        <v>5</v>
      </c>
      <c r="F4">
        <v>0</v>
      </c>
      <c r="G4">
        <v>0</v>
      </c>
      <c r="H4">
        <v>0</v>
      </c>
      <c r="I4">
        <v>1</v>
      </c>
      <c r="J4">
        <v>1</v>
      </c>
      <c r="K4">
        <v>0.1</v>
      </c>
      <c r="M4">
        <v>3</v>
      </c>
      <c r="N4">
        <f t="shared" si="0"/>
        <v>7</v>
      </c>
      <c r="O4">
        <f t="shared" si="1"/>
        <v>65</v>
      </c>
      <c r="Q4">
        <v>3</v>
      </c>
      <c r="R4" s="1">
        <f>Tabelle3[[#This Row],[Seite]]-0</f>
        <v>3</v>
      </c>
      <c r="S4">
        <v>7</v>
      </c>
      <c r="T4">
        <v>65</v>
      </c>
      <c r="U4" s="2" cm="1">
        <f t="array" ref="U4">SUMPRODUCT((Tabelle2[Seite]=Q4)*Tabelle2[Score_Gewichtet])</f>
        <v>2.2000000000000002</v>
      </c>
      <c r="V4" s="2"/>
    </row>
    <row r="5" spans="1:25" x14ac:dyDescent="0.2">
      <c r="A5" t="s">
        <v>0</v>
      </c>
      <c r="B5">
        <v>2</v>
      </c>
      <c r="C5" t="s">
        <v>4</v>
      </c>
      <c r="D5" t="s">
        <v>2</v>
      </c>
      <c r="E5" t="s">
        <v>7</v>
      </c>
      <c r="F5">
        <v>0</v>
      </c>
      <c r="G5">
        <v>0</v>
      </c>
      <c r="H5">
        <v>1</v>
      </c>
      <c r="I5">
        <v>0</v>
      </c>
      <c r="J5">
        <v>1</v>
      </c>
      <c r="K5">
        <v>0.5</v>
      </c>
      <c r="M5">
        <v>4</v>
      </c>
      <c r="N5">
        <f t="shared" si="0"/>
        <v>3</v>
      </c>
      <c r="O5">
        <f t="shared" si="1"/>
        <v>112</v>
      </c>
      <c r="Q5">
        <v>4</v>
      </c>
      <c r="R5" s="1">
        <f>Tabelle3[[#This Row],[Seite]]-0</f>
        <v>4</v>
      </c>
      <c r="S5">
        <v>3</v>
      </c>
      <c r="T5">
        <v>112</v>
      </c>
      <c r="U5" s="2" cm="1">
        <f t="array" ref="U5">SUMPRODUCT((Tabelle2[Seite]=Q5)*Tabelle2[Score_Gewichtet])</f>
        <v>0.4</v>
      </c>
      <c r="V5" s="2"/>
    </row>
    <row r="6" spans="1:25" x14ac:dyDescent="0.2">
      <c r="A6" t="s">
        <v>0</v>
      </c>
      <c r="B6">
        <v>2</v>
      </c>
      <c r="C6" t="s">
        <v>4</v>
      </c>
      <c r="D6" t="s">
        <v>2</v>
      </c>
      <c r="E6" t="s">
        <v>8</v>
      </c>
      <c r="F6">
        <v>1</v>
      </c>
      <c r="G6">
        <v>0</v>
      </c>
      <c r="H6">
        <v>1</v>
      </c>
      <c r="I6">
        <v>0</v>
      </c>
      <c r="J6">
        <v>2</v>
      </c>
      <c r="K6">
        <v>1.5</v>
      </c>
      <c r="M6">
        <v>5</v>
      </c>
      <c r="N6">
        <f t="shared" si="0"/>
        <v>8</v>
      </c>
      <c r="O6">
        <f t="shared" si="1"/>
        <v>56</v>
      </c>
      <c r="Q6">
        <v>5</v>
      </c>
      <c r="R6" s="1">
        <f>Tabelle3[[#This Row],[Seite]]-0</f>
        <v>5</v>
      </c>
      <c r="S6">
        <v>8</v>
      </c>
      <c r="T6">
        <v>56</v>
      </c>
      <c r="U6" s="2" cm="1">
        <f t="array" ref="U6">SUMPRODUCT((Tabelle2[Seite]=Q6)*Tabelle2[Score_Gewichtet])</f>
        <v>6.4999999999999991</v>
      </c>
      <c r="V6" s="2"/>
    </row>
    <row r="7" spans="1:25" x14ac:dyDescent="0.2">
      <c r="A7" t="s">
        <v>0</v>
      </c>
      <c r="B7">
        <v>2</v>
      </c>
      <c r="C7" t="s">
        <v>4</v>
      </c>
      <c r="D7" t="s">
        <v>2</v>
      </c>
      <c r="E7" t="s">
        <v>9</v>
      </c>
      <c r="F7">
        <v>0</v>
      </c>
      <c r="G7">
        <v>0</v>
      </c>
      <c r="H7">
        <v>0</v>
      </c>
      <c r="I7">
        <v>1</v>
      </c>
      <c r="J7">
        <v>1</v>
      </c>
      <c r="K7">
        <v>0.1</v>
      </c>
      <c r="M7">
        <v>6</v>
      </c>
      <c r="N7">
        <f t="shared" si="0"/>
        <v>3</v>
      </c>
      <c r="O7">
        <f t="shared" si="1"/>
        <v>112</v>
      </c>
      <c r="Q7">
        <v>6</v>
      </c>
      <c r="R7" s="1">
        <f>Tabelle3[[#This Row],[Seite]]-0</f>
        <v>6</v>
      </c>
      <c r="S7">
        <v>3</v>
      </c>
      <c r="T7">
        <v>112</v>
      </c>
      <c r="U7" s="2" cm="1">
        <f t="array" ref="U7">SUMPRODUCT((Tabelle2[Seite]=Q7)*Tabelle2[Score_Gewichtet])</f>
        <v>1.1000000000000001</v>
      </c>
      <c r="V7" s="2"/>
    </row>
    <row r="8" spans="1:25" x14ac:dyDescent="0.2">
      <c r="A8" t="s">
        <v>0</v>
      </c>
      <c r="B8">
        <v>2</v>
      </c>
      <c r="C8" t="s">
        <v>4</v>
      </c>
      <c r="D8" t="s">
        <v>6</v>
      </c>
      <c r="E8" t="s">
        <v>10</v>
      </c>
      <c r="F8">
        <v>0</v>
      </c>
      <c r="G8">
        <v>0</v>
      </c>
      <c r="H8">
        <v>0</v>
      </c>
      <c r="I8">
        <v>2</v>
      </c>
      <c r="J8">
        <v>2</v>
      </c>
      <c r="K8">
        <v>0.2</v>
      </c>
      <c r="M8">
        <v>7</v>
      </c>
      <c r="N8">
        <f t="shared" si="0"/>
        <v>2</v>
      </c>
      <c r="O8">
        <f t="shared" si="1"/>
        <v>127</v>
      </c>
      <c r="Q8">
        <v>7</v>
      </c>
      <c r="R8" s="1">
        <f>Tabelle3[[#This Row],[Seite]]-0</f>
        <v>7</v>
      </c>
      <c r="S8">
        <v>2</v>
      </c>
      <c r="T8">
        <v>127</v>
      </c>
      <c r="U8" s="2" cm="1">
        <f t="array" ref="U8">SUMPRODUCT((Tabelle2[Seite]=Q8)*Tabelle2[Score_Gewichtet])</f>
        <v>1.5</v>
      </c>
      <c r="V8" s="2"/>
    </row>
    <row r="9" spans="1:25" x14ac:dyDescent="0.2">
      <c r="A9" t="s">
        <v>0</v>
      </c>
      <c r="B9">
        <v>2</v>
      </c>
      <c r="C9" t="s">
        <v>11</v>
      </c>
      <c r="D9" t="s">
        <v>6</v>
      </c>
      <c r="E9" t="s">
        <v>12</v>
      </c>
      <c r="F9">
        <v>0</v>
      </c>
      <c r="G9">
        <v>0</v>
      </c>
      <c r="H9">
        <v>1</v>
      </c>
      <c r="I9">
        <v>0</v>
      </c>
      <c r="J9">
        <v>1</v>
      </c>
      <c r="K9">
        <v>0.5</v>
      </c>
      <c r="M9">
        <v>8</v>
      </c>
      <c r="N9">
        <f t="shared" si="0"/>
        <v>3</v>
      </c>
      <c r="O9">
        <f t="shared" si="1"/>
        <v>112</v>
      </c>
      <c r="Q9">
        <v>8</v>
      </c>
      <c r="R9" s="1">
        <f>Tabelle3[[#This Row],[Seite]]-0</f>
        <v>8</v>
      </c>
      <c r="S9">
        <v>3</v>
      </c>
      <c r="T9">
        <v>112</v>
      </c>
      <c r="U9" s="2" cm="1">
        <f t="array" ref="U9">SUMPRODUCT((Tabelle2[Seite]=Q9)*Tabelle2[Score_Gewichtet])</f>
        <v>2.5</v>
      </c>
      <c r="V9" s="2"/>
    </row>
    <row r="10" spans="1:25" x14ac:dyDescent="0.2">
      <c r="A10" t="s">
        <v>0</v>
      </c>
      <c r="B10">
        <v>2</v>
      </c>
      <c r="C10" t="s">
        <v>1</v>
      </c>
      <c r="D10" t="s">
        <v>6</v>
      </c>
      <c r="E10" t="s">
        <v>13</v>
      </c>
      <c r="F10">
        <v>0</v>
      </c>
      <c r="G10">
        <v>0</v>
      </c>
      <c r="H10">
        <v>1</v>
      </c>
      <c r="I10">
        <v>1</v>
      </c>
      <c r="J10">
        <v>2</v>
      </c>
      <c r="K10">
        <v>0.6</v>
      </c>
      <c r="M10">
        <v>9</v>
      </c>
      <c r="N10">
        <f t="shared" si="0"/>
        <v>4</v>
      </c>
      <c r="O10">
        <f t="shared" si="1"/>
        <v>100</v>
      </c>
      <c r="Q10">
        <v>9</v>
      </c>
      <c r="R10" s="1">
        <f>Tabelle3[[#This Row],[Seite]]-0</f>
        <v>9</v>
      </c>
      <c r="S10">
        <v>4</v>
      </c>
      <c r="T10">
        <v>100</v>
      </c>
      <c r="U10" s="2" cm="1">
        <f t="array" ref="U10">SUMPRODUCT((Tabelle2[Seite]=Q10)*Tabelle2[Score_Gewichtet])</f>
        <v>2.4500000000000002</v>
      </c>
      <c r="V10" s="2"/>
    </row>
    <row r="11" spans="1:25" x14ac:dyDescent="0.2">
      <c r="A11" t="s">
        <v>0</v>
      </c>
      <c r="B11">
        <v>2</v>
      </c>
      <c r="C11" t="s">
        <v>1</v>
      </c>
      <c r="D11" t="s">
        <v>2</v>
      </c>
      <c r="E11" t="s">
        <v>14</v>
      </c>
      <c r="F11">
        <v>0</v>
      </c>
      <c r="G11">
        <v>0</v>
      </c>
      <c r="H11">
        <v>1</v>
      </c>
      <c r="I11">
        <v>0</v>
      </c>
      <c r="J11">
        <v>1</v>
      </c>
      <c r="K11">
        <v>0.5</v>
      </c>
      <c r="M11">
        <v>10</v>
      </c>
      <c r="N11">
        <f t="shared" si="0"/>
        <v>9</v>
      </c>
      <c r="O11">
        <f t="shared" si="1"/>
        <v>38</v>
      </c>
      <c r="Q11">
        <v>10</v>
      </c>
      <c r="R11" s="1">
        <f>Tabelle3[[#This Row],[Seite]]-0</f>
        <v>10</v>
      </c>
      <c r="S11">
        <v>9</v>
      </c>
      <c r="T11">
        <v>38</v>
      </c>
      <c r="U11" s="2" cm="1">
        <f t="array" ref="U11">SUMPRODUCT((Tabelle2[Seite]=Q11)*Tabelle2[Score_Gewichtet])</f>
        <v>17.75</v>
      </c>
      <c r="V11" s="2"/>
    </row>
    <row r="12" spans="1:25" x14ac:dyDescent="0.2">
      <c r="A12" t="s">
        <v>0</v>
      </c>
      <c r="B12">
        <v>2</v>
      </c>
      <c r="C12" t="s">
        <v>1</v>
      </c>
      <c r="D12" t="s">
        <v>2</v>
      </c>
      <c r="E12" t="s">
        <v>3</v>
      </c>
      <c r="F12">
        <v>0</v>
      </c>
      <c r="G12">
        <v>0</v>
      </c>
      <c r="H12">
        <v>1</v>
      </c>
      <c r="I12">
        <v>0</v>
      </c>
      <c r="J12">
        <v>1</v>
      </c>
      <c r="K12">
        <v>0.5</v>
      </c>
      <c r="M12">
        <v>11</v>
      </c>
      <c r="N12">
        <f t="shared" si="0"/>
        <v>5</v>
      </c>
      <c r="O12">
        <f t="shared" si="1"/>
        <v>89</v>
      </c>
      <c r="Q12">
        <v>11</v>
      </c>
      <c r="R12" s="1">
        <f>Tabelle3[[#This Row],[Seite]]-0</f>
        <v>11</v>
      </c>
      <c r="S12">
        <v>5</v>
      </c>
      <c r="T12">
        <v>89</v>
      </c>
      <c r="U12" s="2" cm="1">
        <f t="array" ref="U12">SUMPRODUCT((Tabelle2[Seite]=Q12)*Tabelle2[Score_Gewichtet])</f>
        <v>2.6</v>
      </c>
      <c r="V12" s="2"/>
    </row>
    <row r="13" spans="1:25" x14ac:dyDescent="0.2">
      <c r="A13" t="s">
        <v>0</v>
      </c>
      <c r="B13">
        <v>2</v>
      </c>
      <c r="C13" t="s">
        <v>15</v>
      </c>
      <c r="D13" t="s">
        <v>2</v>
      </c>
      <c r="E13" t="s">
        <v>16</v>
      </c>
      <c r="F13">
        <v>1</v>
      </c>
      <c r="G13">
        <v>0</v>
      </c>
      <c r="H13">
        <v>1</v>
      </c>
      <c r="I13">
        <v>2</v>
      </c>
      <c r="J13">
        <v>4</v>
      </c>
      <c r="K13">
        <v>1.7</v>
      </c>
      <c r="M13">
        <v>12</v>
      </c>
      <c r="N13">
        <f t="shared" si="0"/>
        <v>3</v>
      </c>
      <c r="O13">
        <f t="shared" si="1"/>
        <v>112</v>
      </c>
      <c r="Q13">
        <v>12</v>
      </c>
      <c r="R13" s="1">
        <f>Tabelle3[[#This Row],[Seite]]-0</f>
        <v>12</v>
      </c>
      <c r="S13">
        <v>3</v>
      </c>
      <c r="T13">
        <v>112</v>
      </c>
      <c r="U13" s="2" cm="1">
        <f t="array" ref="U13">SUMPRODUCT((Tabelle2[Seite]=Q13)*Tabelle2[Score_Gewichtet])</f>
        <v>1.6</v>
      </c>
      <c r="V13" s="2"/>
    </row>
    <row r="14" spans="1:25" x14ac:dyDescent="0.2">
      <c r="A14" t="s">
        <v>0</v>
      </c>
      <c r="B14">
        <v>2</v>
      </c>
      <c r="C14" t="s">
        <v>15</v>
      </c>
      <c r="D14" t="s">
        <v>6</v>
      </c>
      <c r="E14" t="s">
        <v>17</v>
      </c>
      <c r="F14">
        <v>0</v>
      </c>
      <c r="G14">
        <v>0</v>
      </c>
      <c r="H14">
        <v>1</v>
      </c>
      <c r="I14">
        <v>0</v>
      </c>
      <c r="J14">
        <v>1</v>
      </c>
      <c r="K14">
        <v>0.6</v>
      </c>
      <c r="M14">
        <v>13</v>
      </c>
      <c r="N14">
        <f t="shared" si="0"/>
        <v>3</v>
      </c>
      <c r="O14">
        <f t="shared" si="1"/>
        <v>112</v>
      </c>
      <c r="Q14">
        <v>13</v>
      </c>
      <c r="R14" s="1">
        <f>Tabelle3[[#This Row],[Seite]]-0</f>
        <v>13</v>
      </c>
      <c r="S14">
        <v>3</v>
      </c>
      <c r="T14">
        <v>112</v>
      </c>
      <c r="U14" s="2" cm="1">
        <f t="array" ref="U14">SUMPRODUCT((Tabelle2[Seite]=Q14)*Tabelle2[Score_Gewichtet])</f>
        <v>1.6</v>
      </c>
      <c r="V14" s="2"/>
    </row>
    <row r="15" spans="1:25" x14ac:dyDescent="0.2">
      <c r="A15" t="s">
        <v>0</v>
      </c>
      <c r="B15">
        <v>2</v>
      </c>
      <c r="C15" t="s">
        <v>18</v>
      </c>
      <c r="D15" t="s">
        <v>6</v>
      </c>
      <c r="E15" t="s">
        <v>19</v>
      </c>
      <c r="F15">
        <v>0</v>
      </c>
      <c r="G15">
        <v>1</v>
      </c>
      <c r="H15">
        <v>0</v>
      </c>
      <c r="I15">
        <v>0</v>
      </c>
      <c r="J15">
        <v>1</v>
      </c>
      <c r="K15">
        <v>0.75</v>
      </c>
      <c r="M15">
        <v>14</v>
      </c>
      <c r="N15">
        <f t="shared" si="0"/>
        <v>13</v>
      </c>
      <c r="O15">
        <f t="shared" si="1"/>
        <v>15</v>
      </c>
      <c r="Q15">
        <v>14</v>
      </c>
      <c r="R15" s="1">
        <f>Tabelle3[[#This Row],[Seite]]-0</f>
        <v>14</v>
      </c>
      <c r="S15">
        <v>13</v>
      </c>
      <c r="T15">
        <v>15</v>
      </c>
      <c r="U15" s="2" cm="1">
        <f t="array" ref="U15">SUMPRODUCT((Tabelle2[Seite]=Q15)*Tabelle2[Score_Gewichtet])</f>
        <v>24.25</v>
      </c>
      <c r="V15" s="2"/>
    </row>
    <row r="16" spans="1:25" x14ac:dyDescent="0.2">
      <c r="A16" t="s">
        <v>0</v>
      </c>
      <c r="B16">
        <v>2</v>
      </c>
      <c r="C16" t="s">
        <v>18</v>
      </c>
      <c r="D16" t="s">
        <v>2</v>
      </c>
      <c r="E16" t="s">
        <v>20</v>
      </c>
      <c r="F16">
        <v>0</v>
      </c>
      <c r="G16">
        <v>0</v>
      </c>
      <c r="H16">
        <v>1</v>
      </c>
      <c r="I16">
        <v>0</v>
      </c>
      <c r="J16">
        <v>1</v>
      </c>
      <c r="K16">
        <v>0.5</v>
      </c>
      <c r="M16">
        <v>15</v>
      </c>
      <c r="N16">
        <f t="shared" si="0"/>
        <v>10</v>
      </c>
      <c r="O16">
        <f t="shared" si="1"/>
        <v>31</v>
      </c>
      <c r="Q16">
        <v>15</v>
      </c>
      <c r="R16" s="1">
        <f>Tabelle3[[#This Row],[Seite]]-0</f>
        <v>15</v>
      </c>
      <c r="S16">
        <v>10</v>
      </c>
      <c r="T16">
        <v>31</v>
      </c>
      <c r="U16" s="2" cm="1">
        <f t="array" ref="U16">SUMPRODUCT((Tabelle2[Seite]=Q16)*Tabelle2[Score_Gewichtet])</f>
        <v>6.6499999999999995</v>
      </c>
      <c r="V16" s="2"/>
    </row>
    <row r="17" spans="1:22" x14ac:dyDescent="0.2">
      <c r="A17" t="s">
        <v>0</v>
      </c>
      <c r="B17">
        <v>2</v>
      </c>
      <c r="C17" t="s">
        <v>18</v>
      </c>
      <c r="D17" t="s">
        <v>2</v>
      </c>
      <c r="E17" t="s">
        <v>21</v>
      </c>
      <c r="F17">
        <v>0</v>
      </c>
      <c r="G17">
        <v>0</v>
      </c>
      <c r="H17">
        <v>0</v>
      </c>
      <c r="I17">
        <v>1</v>
      </c>
      <c r="J17">
        <v>1</v>
      </c>
      <c r="K17">
        <v>0.1</v>
      </c>
      <c r="M17">
        <v>16</v>
      </c>
      <c r="N17">
        <f t="shared" si="0"/>
        <v>4</v>
      </c>
      <c r="O17">
        <f t="shared" si="1"/>
        <v>100</v>
      </c>
      <c r="Q17">
        <v>16</v>
      </c>
      <c r="R17" s="1">
        <f>Tabelle3[[#This Row],[Seite]]-0</f>
        <v>16</v>
      </c>
      <c r="S17">
        <v>4</v>
      </c>
      <c r="T17">
        <v>100</v>
      </c>
      <c r="U17" s="2" cm="1">
        <f t="array" ref="U17">SUMPRODUCT((Tabelle2[Seite]=Q17)*Tabelle2[Score_Gewichtet])</f>
        <v>2.5</v>
      </c>
      <c r="V17" s="2"/>
    </row>
    <row r="18" spans="1:22" x14ac:dyDescent="0.2">
      <c r="A18" t="s">
        <v>0</v>
      </c>
      <c r="B18">
        <v>2</v>
      </c>
      <c r="C18" t="s">
        <v>18</v>
      </c>
      <c r="D18" t="s">
        <v>6</v>
      </c>
      <c r="E18" t="s">
        <v>22</v>
      </c>
      <c r="F18">
        <v>0</v>
      </c>
      <c r="G18">
        <v>0</v>
      </c>
      <c r="H18">
        <v>1</v>
      </c>
      <c r="I18">
        <v>1</v>
      </c>
      <c r="J18">
        <v>2</v>
      </c>
      <c r="K18">
        <v>0.6</v>
      </c>
      <c r="M18">
        <v>17</v>
      </c>
      <c r="N18">
        <f t="shared" si="0"/>
        <v>9</v>
      </c>
      <c r="O18">
        <f t="shared" si="1"/>
        <v>38</v>
      </c>
      <c r="Q18">
        <v>17</v>
      </c>
      <c r="R18" s="1">
        <f>Tabelle3[[#This Row],[Seite]]-0</f>
        <v>17</v>
      </c>
      <c r="S18">
        <v>9</v>
      </c>
      <c r="T18">
        <v>38</v>
      </c>
      <c r="U18" s="2" cm="1">
        <f t="array" ref="U18">SUMPRODUCT((Tabelle2[Seite]=Q18)*Tabelle2[Score_Gewichtet])</f>
        <v>5.0999999999999988</v>
      </c>
      <c r="V18" s="2"/>
    </row>
    <row r="19" spans="1:22" x14ac:dyDescent="0.2">
      <c r="A19" t="s">
        <v>0</v>
      </c>
      <c r="B19">
        <v>2</v>
      </c>
      <c r="C19" t="s">
        <v>23</v>
      </c>
      <c r="D19" t="s">
        <v>6</v>
      </c>
      <c r="E19" t="s">
        <v>24</v>
      </c>
      <c r="F19">
        <v>0</v>
      </c>
      <c r="G19">
        <v>0</v>
      </c>
      <c r="H19">
        <v>1</v>
      </c>
      <c r="I19">
        <v>0</v>
      </c>
      <c r="J19">
        <v>1</v>
      </c>
      <c r="K19">
        <v>0.5</v>
      </c>
      <c r="M19">
        <v>18</v>
      </c>
      <c r="N19">
        <f t="shared" si="0"/>
        <v>9</v>
      </c>
      <c r="O19">
        <f t="shared" si="1"/>
        <v>38</v>
      </c>
      <c r="Q19">
        <v>18</v>
      </c>
      <c r="R19" s="1">
        <f>Tabelle3[[#This Row],[Seite]]-0</f>
        <v>18</v>
      </c>
      <c r="S19">
        <v>9</v>
      </c>
      <c r="T19">
        <v>38</v>
      </c>
      <c r="U19" s="2" cm="1">
        <f t="array" ref="U19">SUMPRODUCT((Tabelle2[Seite]=Q19)*Tabelle2[Score_Gewichtet])</f>
        <v>6.1999999999999993</v>
      </c>
      <c r="V19" s="2"/>
    </row>
    <row r="20" spans="1:22" x14ac:dyDescent="0.2">
      <c r="A20" t="s">
        <v>0</v>
      </c>
      <c r="B20">
        <v>2</v>
      </c>
      <c r="C20" t="s">
        <v>23</v>
      </c>
      <c r="D20" t="s">
        <v>2</v>
      </c>
      <c r="E20" t="s">
        <v>10</v>
      </c>
      <c r="F20">
        <v>0</v>
      </c>
      <c r="G20">
        <v>0</v>
      </c>
      <c r="H20">
        <v>0</v>
      </c>
      <c r="I20">
        <v>2</v>
      </c>
      <c r="J20">
        <v>2</v>
      </c>
      <c r="K20">
        <v>0.2</v>
      </c>
      <c r="M20">
        <v>19</v>
      </c>
      <c r="N20">
        <f t="shared" si="0"/>
        <v>5</v>
      </c>
      <c r="O20">
        <f t="shared" si="1"/>
        <v>89</v>
      </c>
      <c r="Q20">
        <v>19</v>
      </c>
      <c r="R20" s="1">
        <f>Tabelle3[[#This Row],[Seite]]-0</f>
        <v>19</v>
      </c>
      <c r="S20">
        <v>5</v>
      </c>
      <c r="T20">
        <v>89</v>
      </c>
      <c r="U20" s="2" cm="1">
        <f t="array" ref="U20">SUMPRODUCT((Tabelle2[Seite]=Q20)*Tabelle2[Score_Gewichtet])</f>
        <v>0.79999999999999993</v>
      </c>
      <c r="V20" s="2"/>
    </row>
    <row r="21" spans="1:22" x14ac:dyDescent="0.2">
      <c r="A21" t="s">
        <v>0</v>
      </c>
      <c r="B21">
        <v>2</v>
      </c>
      <c r="C21" t="s">
        <v>23</v>
      </c>
      <c r="D21" t="s">
        <v>6</v>
      </c>
      <c r="E21" t="s">
        <v>25</v>
      </c>
      <c r="F21">
        <v>0</v>
      </c>
      <c r="G21">
        <v>0</v>
      </c>
      <c r="H21">
        <v>0</v>
      </c>
      <c r="I21">
        <v>2</v>
      </c>
      <c r="J21">
        <v>2</v>
      </c>
      <c r="K21">
        <v>0.2</v>
      </c>
      <c r="M21">
        <v>20</v>
      </c>
      <c r="N21">
        <f t="shared" si="0"/>
        <v>6</v>
      </c>
      <c r="O21">
        <f t="shared" si="1"/>
        <v>72</v>
      </c>
      <c r="Q21">
        <v>20</v>
      </c>
      <c r="R21" s="1">
        <f>Tabelle3[[#This Row],[Seite]]-0</f>
        <v>20</v>
      </c>
      <c r="S21">
        <v>6</v>
      </c>
      <c r="T21">
        <v>72</v>
      </c>
      <c r="U21" s="2" cm="1">
        <f t="array" ref="U21">SUMPRODUCT((Tabelle2[Seite]=Q21)*Tabelle2[Score_Gewichtet])</f>
        <v>6.3</v>
      </c>
      <c r="V21" s="2"/>
    </row>
    <row r="22" spans="1:22" x14ac:dyDescent="0.2">
      <c r="A22" t="s">
        <v>0</v>
      </c>
      <c r="B22">
        <v>2</v>
      </c>
      <c r="C22" t="s">
        <v>23</v>
      </c>
      <c r="D22" t="s">
        <v>2</v>
      </c>
      <c r="E22" t="s">
        <v>26</v>
      </c>
      <c r="F22">
        <v>0</v>
      </c>
      <c r="G22">
        <v>0</v>
      </c>
      <c r="H22">
        <v>0</v>
      </c>
      <c r="I22">
        <v>1</v>
      </c>
      <c r="J22">
        <v>1</v>
      </c>
      <c r="K22">
        <v>0.1</v>
      </c>
      <c r="M22">
        <v>21</v>
      </c>
      <c r="N22">
        <f t="shared" si="0"/>
        <v>2</v>
      </c>
      <c r="O22">
        <f t="shared" si="1"/>
        <v>127</v>
      </c>
      <c r="Q22">
        <v>21</v>
      </c>
      <c r="R22" s="1">
        <f>Tabelle3[[#This Row],[Seite]]-0</f>
        <v>21</v>
      </c>
      <c r="S22">
        <v>2</v>
      </c>
      <c r="T22">
        <v>127</v>
      </c>
      <c r="U22" s="2" cm="1">
        <f t="array" ref="U22">SUMPRODUCT((Tabelle2[Seite]=Q22)*Tabelle2[Score_Gewichtet])</f>
        <v>5</v>
      </c>
      <c r="V22" s="2"/>
    </row>
    <row r="23" spans="1:22" x14ac:dyDescent="0.2">
      <c r="A23" t="s">
        <v>0</v>
      </c>
      <c r="B23">
        <v>2</v>
      </c>
      <c r="C23" t="s">
        <v>27</v>
      </c>
      <c r="D23" t="s">
        <v>2</v>
      </c>
      <c r="E23" t="s">
        <v>5</v>
      </c>
      <c r="F23">
        <v>0</v>
      </c>
      <c r="G23">
        <v>0</v>
      </c>
      <c r="H23">
        <v>0</v>
      </c>
      <c r="I23">
        <v>1</v>
      </c>
      <c r="J23">
        <v>1</v>
      </c>
      <c r="K23">
        <v>0.1</v>
      </c>
      <c r="M23">
        <v>22</v>
      </c>
      <c r="N23">
        <f t="shared" si="0"/>
        <v>6</v>
      </c>
      <c r="O23">
        <f t="shared" si="1"/>
        <v>72</v>
      </c>
      <c r="Q23">
        <v>22</v>
      </c>
      <c r="R23" s="1">
        <f>Tabelle3[[#This Row],[Seite]]-0</f>
        <v>22</v>
      </c>
      <c r="S23">
        <v>6</v>
      </c>
      <c r="T23">
        <v>72</v>
      </c>
      <c r="U23" s="2" cm="1">
        <f t="array" ref="U23">SUMPRODUCT((Tabelle2[Seite]=Q23)*Tabelle2[Score_Gewichtet])</f>
        <v>5.45</v>
      </c>
      <c r="V23" s="2"/>
    </row>
    <row r="24" spans="1:22" x14ac:dyDescent="0.2">
      <c r="A24" t="s">
        <v>0</v>
      </c>
      <c r="B24">
        <v>2</v>
      </c>
      <c r="C24" t="s">
        <v>27</v>
      </c>
      <c r="D24" t="s">
        <v>6</v>
      </c>
      <c r="E24" t="s">
        <v>28</v>
      </c>
      <c r="F24">
        <v>0</v>
      </c>
      <c r="G24">
        <v>0</v>
      </c>
      <c r="H24">
        <v>0</v>
      </c>
      <c r="I24">
        <v>1</v>
      </c>
      <c r="J24">
        <v>1</v>
      </c>
      <c r="K24">
        <v>0.1</v>
      </c>
      <c r="M24">
        <v>23</v>
      </c>
      <c r="N24">
        <f t="shared" si="0"/>
        <v>8</v>
      </c>
      <c r="O24">
        <f t="shared" si="1"/>
        <v>56</v>
      </c>
      <c r="Q24">
        <v>23</v>
      </c>
      <c r="R24" s="1">
        <f>Tabelle3[[#This Row],[Seite]]-0</f>
        <v>23</v>
      </c>
      <c r="S24">
        <v>8</v>
      </c>
      <c r="T24">
        <v>56</v>
      </c>
      <c r="U24" s="2" cm="1">
        <f t="array" ref="U24">SUMPRODUCT((Tabelle2[Seite]=Q24)*Tabelle2[Score_Gewichtet])</f>
        <v>8.65</v>
      </c>
      <c r="V24" s="2"/>
    </row>
    <row r="25" spans="1:22" x14ac:dyDescent="0.2">
      <c r="A25" t="s">
        <v>0</v>
      </c>
      <c r="B25">
        <v>3</v>
      </c>
      <c r="C25" t="s">
        <v>4</v>
      </c>
      <c r="D25" t="s">
        <v>6</v>
      </c>
      <c r="E25" t="s">
        <v>29</v>
      </c>
      <c r="F25">
        <v>0</v>
      </c>
      <c r="G25">
        <v>0</v>
      </c>
      <c r="H25">
        <v>0</v>
      </c>
      <c r="I25">
        <v>1</v>
      </c>
      <c r="J25">
        <v>1</v>
      </c>
      <c r="K25">
        <v>0.1</v>
      </c>
      <c r="M25">
        <v>24</v>
      </c>
      <c r="N25">
        <f t="shared" si="0"/>
        <v>8</v>
      </c>
      <c r="O25">
        <f t="shared" si="1"/>
        <v>56</v>
      </c>
      <c r="Q25">
        <v>24</v>
      </c>
      <c r="R25" s="1">
        <f>Tabelle3[[#This Row],[Seite]]-0</f>
        <v>24</v>
      </c>
      <c r="S25">
        <v>8</v>
      </c>
      <c r="T25">
        <v>56</v>
      </c>
      <c r="U25" s="2" cm="1">
        <f t="array" ref="U25">SUMPRODUCT((Tabelle2[Seite]=Q25)*Tabelle2[Score_Gewichtet])</f>
        <v>6.35</v>
      </c>
      <c r="V25" s="2"/>
    </row>
    <row r="26" spans="1:22" x14ac:dyDescent="0.2">
      <c r="A26" t="s">
        <v>0</v>
      </c>
      <c r="B26">
        <v>3</v>
      </c>
      <c r="C26" t="s">
        <v>4</v>
      </c>
      <c r="D26" t="s">
        <v>2</v>
      </c>
      <c r="E26" t="s">
        <v>5</v>
      </c>
      <c r="F26">
        <v>0</v>
      </c>
      <c r="G26">
        <v>0</v>
      </c>
      <c r="H26">
        <v>0</v>
      </c>
      <c r="I26">
        <v>2</v>
      </c>
      <c r="J26">
        <v>2</v>
      </c>
      <c r="K26">
        <v>0.2</v>
      </c>
      <c r="M26">
        <v>25</v>
      </c>
      <c r="N26">
        <f t="shared" si="0"/>
        <v>3</v>
      </c>
      <c r="O26">
        <f t="shared" si="1"/>
        <v>112</v>
      </c>
      <c r="Q26">
        <v>25</v>
      </c>
      <c r="R26" s="1">
        <f>Tabelle3[[#This Row],[Seite]]-0</f>
        <v>25</v>
      </c>
      <c r="S26">
        <v>3</v>
      </c>
      <c r="T26">
        <v>112</v>
      </c>
      <c r="U26" s="2" cm="1">
        <f t="array" ref="U26">SUMPRODUCT((Tabelle2[Seite]=Q26)*Tabelle2[Score_Gewichtet])</f>
        <v>2.5</v>
      </c>
      <c r="V26" s="2"/>
    </row>
    <row r="27" spans="1:22" x14ac:dyDescent="0.2">
      <c r="A27" t="s">
        <v>0</v>
      </c>
      <c r="B27">
        <v>3</v>
      </c>
      <c r="C27" t="s">
        <v>4</v>
      </c>
      <c r="D27" t="s">
        <v>6</v>
      </c>
      <c r="E27" t="s">
        <v>5</v>
      </c>
      <c r="F27">
        <v>0</v>
      </c>
      <c r="G27">
        <v>0</v>
      </c>
      <c r="H27">
        <v>0</v>
      </c>
      <c r="I27">
        <v>2</v>
      </c>
      <c r="J27">
        <v>2</v>
      </c>
      <c r="K27">
        <v>0.2</v>
      </c>
      <c r="M27">
        <v>26</v>
      </c>
      <c r="N27">
        <f t="shared" si="0"/>
        <v>6</v>
      </c>
      <c r="O27">
        <f t="shared" si="1"/>
        <v>72</v>
      </c>
      <c r="Q27">
        <v>26</v>
      </c>
      <c r="R27" s="1">
        <f>Tabelle3[[#This Row],[Seite]]-0</f>
        <v>26</v>
      </c>
      <c r="S27">
        <v>6</v>
      </c>
      <c r="T27">
        <v>72</v>
      </c>
      <c r="U27" s="2" cm="1">
        <f t="array" ref="U27">SUMPRODUCT((Tabelle2[Seite]=Q27)*Tabelle2[Score_Gewichtet])</f>
        <v>7</v>
      </c>
      <c r="V27" s="2"/>
    </row>
    <row r="28" spans="1:22" x14ac:dyDescent="0.2">
      <c r="A28" t="s">
        <v>0</v>
      </c>
      <c r="B28">
        <v>3</v>
      </c>
      <c r="C28" t="s">
        <v>11</v>
      </c>
      <c r="D28" t="s">
        <v>2</v>
      </c>
      <c r="E28" t="s">
        <v>30</v>
      </c>
      <c r="F28">
        <v>0</v>
      </c>
      <c r="G28">
        <v>0</v>
      </c>
      <c r="H28">
        <v>1</v>
      </c>
      <c r="I28">
        <v>0</v>
      </c>
      <c r="J28">
        <v>1</v>
      </c>
      <c r="K28">
        <v>0.5</v>
      </c>
      <c r="M28">
        <v>27</v>
      </c>
      <c r="N28">
        <f t="shared" si="0"/>
        <v>14</v>
      </c>
      <c r="O28">
        <f t="shared" si="1"/>
        <v>12</v>
      </c>
      <c r="Q28">
        <v>27</v>
      </c>
      <c r="R28" s="1">
        <f>Tabelle3[[#This Row],[Seite]]-0</f>
        <v>27</v>
      </c>
      <c r="S28">
        <v>14</v>
      </c>
      <c r="T28">
        <v>12</v>
      </c>
      <c r="U28" s="2" cm="1">
        <f t="array" ref="U28">SUMPRODUCT((Tabelle2[Seite]=Q28)*Tabelle2[Score_Gewichtet])</f>
        <v>18.05</v>
      </c>
      <c r="V28" s="2"/>
    </row>
    <row r="29" spans="1:22" x14ac:dyDescent="0.2">
      <c r="A29" t="s">
        <v>0</v>
      </c>
      <c r="B29">
        <v>3</v>
      </c>
      <c r="C29" t="s">
        <v>1</v>
      </c>
      <c r="D29" t="s">
        <v>2</v>
      </c>
      <c r="E29" t="s">
        <v>3</v>
      </c>
      <c r="F29">
        <v>0</v>
      </c>
      <c r="G29">
        <v>0</v>
      </c>
      <c r="H29">
        <v>1</v>
      </c>
      <c r="I29">
        <v>0</v>
      </c>
      <c r="J29">
        <v>1</v>
      </c>
      <c r="K29">
        <v>0.5</v>
      </c>
      <c r="M29">
        <v>28</v>
      </c>
      <c r="N29">
        <f t="shared" si="0"/>
        <v>8</v>
      </c>
      <c r="O29">
        <f t="shared" si="1"/>
        <v>56</v>
      </c>
      <c r="Q29">
        <v>28</v>
      </c>
      <c r="R29" s="1">
        <f>Tabelle3[[#This Row],[Seite]]-0</f>
        <v>28</v>
      </c>
      <c r="S29">
        <v>8</v>
      </c>
      <c r="T29">
        <v>56</v>
      </c>
      <c r="U29" s="2" cm="1">
        <f t="array" ref="U29">SUMPRODUCT((Tabelle2[Seite]=Q29)*Tabelle2[Score_Gewichtet])</f>
        <v>11.75</v>
      </c>
      <c r="V29" s="2"/>
    </row>
    <row r="30" spans="1:22" x14ac:dyDescent="0.2">
      <c r="A30" t="s">
        <v>0</v>
      </c>
      <c r="B30">
        <v>3</v>
      </c>
      <c r="C30" t="s">
        <v>27</v>
      </c>
      <c r="D30" t="s">
        <v>2</v>
      </c>
      <c r="E30" t="s">
        <v>5</v>
      </c>
      <c r="F30">
        <v>0</v>
      </c>
      <c r="G30">
        <v>0</v>
      </c>
      <c r="H30">
        <v>0</v>
      </c>
      <c r="I30">
        <v>2</v>
      </c>
      <c r="J30">
        <v>2</v>
      </c>
      <c r="K30">
        <v>0.2</v>
      </c>
      <c r="M30">
        <v>29</v>
      </c>
      <c r="N30">
        <f t="shared" si="0"/>
        <v>9</v>
      </c>
      <c r="O30">
        <f t="shared" si="1"/>
        <v>38</v>
      </c>
      <c r="Q30">
        <v>29</v>
      </c>
      <c r="R30" s="1">
        <f>Tabelle3[[#This Row],[Seite]]-0</f>
        <v>29</v>
      </c>
      <c r="S30">
        <v>9</v>
      </c>
      <c r="T30">
        <v>38</v>
      </c>
      <c r="U30" s="2" cm="1">
        <f t="array" ref="U30">SUMPRODUCT((Tabelle2[Seite]=Q30)*Tabelle2[Score_Gewichtet])</f>
        <v>6</v>
      </c>
      <c r="V30" s="2"/>
    </row>
    <row r="31" spans="1:22" x14ac:dyDescent="0.2">
      <c r="A31" t="s">
        <v>0</v>
      </c>
      <c r="B31">
        <v>3</v>
      </c>
      <c r="C31" t="s">
        <v>27</v>
      </c>
      <c r="D31" t="s">
        <v>2</v>
      </c>
      <c r="E31" t="s">
        <v>31</v>
      </c>
      <c r="F31">
        <v>0</v>
      </c>
      <c r="G31">
        <v>0</v>
      </c>
      <c r="H31">
        <v>1</v>
      </c>
      <c r="I31">
        <v>0</v>
      </c>
      <c r="J31">
        <v>1</v>
      </c>
      <c r="K31">
        <v>0.5</v>
      </c>
      <c r="M31">
        <v>30</v>
      </c>
      <c r="N31">
        <f t="shared" si="0"/>
        <v>11</v>
      </c>
      <c r="O31">
        <f t="shared" si="1"/>
        <v>28</v>
      </c>
      <c r="Q31">
        <v>30</v>
      </c>
      <c r="R31" s="1">
        <f>Tabelle3[[#This Row],[Seite]]-0</f>
        <v>30</v>
      </c>
      <c r="S31">
        <v>11</v>
      </c>
      <c r="T31">
        <v>28</v>
      </c>
      <c r="U31" s="2" cm="1">
        <f t="array" ref="U31">SUMPRODUCT((Tabelle2[Seite]=Q31)*Tabelle2[Score_Gewichtet])</f>
        <v>7.2999999999999989</v>
      </c>
      <c r="V31" s="2"/>
    </row>
    <row r="32" spans="1:22" x14ac:dyDescent="0.2">
      <c r="A32" t="s">
        <v>0</v>
      </c>
      <c r="B32">
        <v>4</v>
      </c>
      <c r="C32" t="s">
        <v>4</v>
      </c>
      <c r="D32" t="s">
        <v>2</v>
      </c>
      <c r="E32" t="s">
        <v>32</v>
      </c>
      <c r="F32">
        <v>0</v>
      </c>
      <c r="G32">
        <v>0</v>
      </c>
      <c r="H32">
        <v>0</v>
      </c>
      <c r="I32">
        <v>1</v>
      </c>
      <c r="J32">
        <v>1</v>
      </c>
      <c r="K32">
        <v>0.1</v>
      </c>
      <c r="M32">
        <v>31</v>
      </c>
      <c r="N32">
        <f t="shared" si="0"/>
        <v>13</v>
      </c>
      <c r="O32">
        <f t="shared" si="1"/>
        <v>15</v>
      </c>
      <c r="Q32">
        <v>31</v>
      </c>
      <c r="R32" s="1">
        <f>Tabelle3[[#This Row],[Seite]]-0</f>
        <v>31</v>
      </c>
      <c r="S32">
        <v>13</v>
      </c>
      <c r="T32">
        <v>15</v>
      </c>
      <c r="U32" s="2" cm="1">
        <f t="array" ref="U32">SUMPRODUCT((Tabelle2[Seite]=Q32)*Tabelle2[Score_Gewichtet])</f>
        <v>10.55</v>
      </c>
      <c r="V32" s="2"/>
    </row>
    <row r="33" spans="1:22" x14ac:dyDescent="0.2">
      <c r="A33" t="s">
        <v>0</v>
      </c>
      <c r="B33">
        <v>4</v>
      </c>
      <c r="C33" t="s">
        <v>23</v>
      </c>
      <c r="D33" t="s">
        <v>33</v>
      </c>
      <c r="E33" t="s">
        <v>34</v>
      </c>
      <c r="F33">
        <v>0</v>
      </c>
      <c r="G33">
        <v>0</v>
      </c>
      <c r="H33">
        <v>0</v>
      </c>
      <c r="I33">
        <v>1</v>
      </c>
      <c r="J33">
        <v>1</v>
      </c>
      <c r="K33">
        <v>0.1</v>
      </c>
      <c r="M33">
        <v>32</v>
      </c>
      <c r="N33">
        <f t="shared" si="0"/>
        <v>5</v>
      </c>
      <c r="O33">
        <f t="shared" si="1"/>
        <v>89</v>
      </c>
      <c r="Q33">
        <v>32</v>
      </c>
      <c r="R33" s="1">
        <f>Tabelle3[[#This Row],[Seite]]-0</f>
        <v>32</v>
      </c>
      <c r="S33">
        <v>5</v>
      </c>
      <c r="T33">
        <v>89</v>
      </c>
      <c r="U33" s="2" cm="1">
        <f t="array" ref="U33">SUMPRODUCT((Tabelle2[Seite]=Q33)*Tabelle2[Score_Gewichtet])</f>
        <v>2.75</v>
      </c>
      <c r="V33" s="2"/>
    </row>
    <row r="34" spans="1:22" x14ac:dyDescent="0.2">
      <c r="A34" t="s">
        <v>0</v>
      </c>
      <c r="B34">
        <v>4</v>
      </c>
      <c r="C34" t="s">
        <v>23</v>
      </c>
      <c r="D34" t="s">
        <v>2</v>
      </c>
      <c r="E34" t="s">
        <v>35</v>
      </c>
      <c r="F34">
        <v>0</v>
      </c>
      <c r="G34">
        <v>0</v>
      </c>
      <c r="H34">
        <v>0</v>
      </c>
      <c r="I34">
        <v>2</v>
      </c>
      <c r="J34">
        <v>2</v>
      </c>
      <c r="K34">
        <v>0.2</v>
      </c>
      <c r="M34">
        <v>33</v>
      </c>
      <c r="N34">
        <f t="shared" ref="N34:N65" si="2">COUNTIF(B$2:B$1069, M34)</f>
        <v>3</v>
      </c>
      <c r="O34">
        <f t="shared" si="1"/>
        <v>112</v>
      </c>
      <c r="Q34">
        <v>33</v>
      </c>
      <c r="R34" s="1">
        <f>Tabelle3[[#This Row],[Seite]]-0</f>
        <v>33</v>
      </c>
      <c r="S34">
        <v>3</v>
      </c>
      <c r="T34">
        <v>112</v>
      </c>
      <c r="U34" s="2" cm="1">
        <f t="array" ref="U34">SUMPRODUCT((Tabelle2[Seite]=Q34)*Tabelle2[Score_Gewichtet])</f>
        <v>2.25</v>
      </c>
      <c r="V34" s="2"/>
    </row>
    <row r="35" spans="1:22" x14ac:dyDescent="0.2">
      <c r="A35" t="s">
        <v>0</v>
      </c>
      <c r="B35">
        <v>5</v>
      </c>
      <c r="C35" t="s">
        <v>4</v>
      </c>
      <c r="D35" t="s">
        <v>33</v>
      </c>
      <c r="E35" t="s">
        <v>36</v>
      </c>
      <c r="F35">
        <v>2</v>
      </c>
      <c r="G35">
        <v>0</v>
      </c>
      <c r="H35">
        <v>0</v>
      </c>
      <c r="I35">
        <v>0</v>
      </c>
      <c r="J35">
        <v>2</v>
      </c>
      <c r="K35">
        <v>2</v>
      </c>
      <c r="M35">
        <v>34</v>
      </c>
      <c r="N35">
        <f t="shared" si="2"/>
        <v>9</v>
      </c>
      <c r="O35">
        <f t="shared" si="1"/>
        <v>38</v>
      </c>
      <c r="Q35">
        <v>34</v>
      </c>
      <c r="R35" s="1">
        <f>Tabelle3[[#This Row],[Seite]]-0</f>
        <v>34</v>
      </c>
      <c r="S35">
        <v>9</v>
      </c>
      <c r="T35">
        <v>38</v>
      </c>
      <c r="U35" s="2" cm="1">
        <f t="array" ref="U35">SUMPRODUCT((Tabelle2[Seite]=Q35)*Tabelle2[Score_Gewichtet])</f>
        <v>16.649999999999999</v>
      </c>
      <c r="V35" s="2"/>
    </row>
    <row r="36" spans="1:22" x14ac:dyDescent="0.2">
      <c r="A36" t="s">
        <v>0</v>
      </c>
      <c r="B36">
        <v>5</v>
      </c>
      <c r="C36" t="s">
        <v>4</v>
      </c>
      <c r="D36" t="s">
        <v>2</v>
      </c>
      <c r="E36" t="s">
        <v>7</v>
      </c>
      <c r="F36">
        <v>0</v>
      </c>
      <c r="G36">
        <v>2</v>
      </c>
      <c r="H36">
        <v>0</v>
      </c>
      <c r="I36">
        <v>0</v>
      </c>
      <c r="J36">
        <v>2</v>
      </c>
      <c r="K36">
        <v>1.5</v>
      </c>
      <c r="M36">
        <v>35</v>
      </c>
      <c r="N36">
        <f t="shared" si="2"/>
        <v>13</v>
      </c>
      <c r="O36">
        <f t="shared" si="1"/>
        <v>15</v>
      </c>
      <c r="Q36">
        <v>35</v>
      </c>
      <c r="R36" s="1">
        <f>Tabelle3[[#This Row],[Seite]]-0</f>
        <v>35</v>
      </c>
      <c r="S36">
        <v>13</v>
      </c>
      <c r="T36">
        <v>15</v>
      </c>
      <c r="U36" s="2" cm="1">
        <f t="array" ref="U36">SUMPRODUCT((Tabelle2[Seite]=Q36)*Tabelle2[Score_Gewichtet])</f>
        <v>12.1</v>
      </c>
      <c r="V36" s="2"/>
    </row>
    <row r="37" spans="1:22" x14ac:dyDescent="0.2">
      <c r="A37" t="s">
        <v>0</v>
      </c>
      <c r="B37">
        <v>5</v>
      </c>
      <c r="C37" t="s">
        <v>15</v>
      </c>
      <c r="D37" t="s">
        <v>6</v>
      </c>
      <c r="E37" t="s">
        <v>37</v>
      </c>
      <c r="F37">
        <v>0</v>
      </c>
      <c r="G37">
        <v>1</v>
      </c>
      <c r="H37">
        <v>0</v>
      </c>
      <c r="I37">
        <v>0</v>
      </c>
      <c r="J37">
        <v>1</v>
      </c>
      <c r="K37">
        <v>0.75</v>
      </c>
      <c r="M37">
        <v>36</v>
      </c>
      <c r="N37">
        <f t="shared" si="2"/>
        <v>9</v>
      </c>
      <c r="O37">
        <f t="shared" si="1"/>
        <v>38</v>
      </c>
      <c r="Q37">
        <v>36</v>
      </c>
      <c r="R37" s="1">
        <f>Tabelle3[[#This Row],[Seite]]-0</f>
        <v>36</v>
      </c>
      <c r="S37">
        <v>9</v>
      </c>
      <c r="T37">
        <v>38</v>
      </c>
      <c r="U37" s="2" cm="1">
        <f t="array" ref="U37">SUMPRODUCT((Tabelle2[Seite]=Q37)*Tabelle2[Score_Gewichtet])</f>
        <v>6.1</v>
      </c>
      <c r="V37" s="2"/>
    </row>
    <row r="38" spans="1:22" x14ac:dyDescent="0.2">
      <c r="A38" t="s">
        <v>0</v>
      </c>
      <c r="B38">
        <v>5</v>
      </c>
      <c r="C38" t="s">
        <v>15</v>
      </c>
      <c r="D38" t="s">
        <v>2</v>
      </c>
      <c r="E38" t="s">
        <v>38</v>
      </c>
      <c r="F38">
        <v>0</v>
      </c>
      <c r="G38">
        <v>0</v>
      </c>
      <c r="H38">
        <v>1</v>
      </c>
      <c r="I38">
        <v>0</v>
      </c>
      <c r="J38">
        <v>1</v>
      </c>
      <c r="K38">
        <v>0.5</v>
      </c>
      <c r="M38">
        <v>37</v>
      </c>
      <c r="N38">
        <f t="shared" si="2"/>
        <v>16</v>
      </c>
      <c r="O38">
        <f t="shared" si="1"/>
        <v>7</v>
      </c>
      <c r="Q38">
        <v>37</v>
      </c>
      <c r="R38" s="1">
        <f>Tabelle3[[#This Row],[Seite]]-0</f>
        <v>37</v>
      </c>
      <c r="S38">
        <v>16</v>
      </c>
      <c r="T38">
        <v>7</v>
      </c>
      <c r="U38" s="2" cm="1">
        <f t="array" ref="U38">SUMPRODUCT((Tabelle2[Seite]=Q38)*Tabelle2[Score_Gewichtet])</f>
        <v>19.850000000000001</v>
      </c>
      <c r="V38" s="2"/>
    </row>
    <row r="39" spans="1:22" x14ac:dyDescent="0.2">
      <c r="A39" t="s">
        <v>0</v>
      </c>
      <c r="B39">
        <v>5</v>
      </c>
      <c r="C39" t="s">
        <v>18</v>
      </c>
      <c r="D39" t="s">
        <v>2</v>
      </c>
      <c r="E39" t="s">
        <v>21</v>
      </c>
      <c r="F39">
        <v>0</v>
      </c>
      <c r="G39">
        <v>0</v>
      </c>
      <c r="H39">
        <v>0</v>
      </c>
      <c r="I39">
        <v>1</v>
      </c>
      <c r="J39">
        <v>1</v>
      </c>
      <c r="K39">
        <v>0.1</v>
      </c>
      <c r="M39">
        <v>38</v>
      </c>
      <c r="N39">
        <f t="shared" si="2"/>
        <v>19</v>
      </c>
      <c r="O39">
        <f t="shared" si="1"/>
        <v>4</v>
      </c>
      <c r="Q39">
        <v>38</v>
      </c>
      <c r="R39" s="1">
        <f>Tabelle3[[#This Row],[Seite]]-0</f>
        <v>38</v>
      </c>
      <c r="S39">
        <v>19</v>
      </c>
      <c r="T39">
        <v>4</v>
      </c>
      <c r="U39" s="2" cm="1">
        <f t="array" ref="U39">SUMPRODUCT((Tabelle2[Seite]=Q39)*Tabelle2[Score_Gewichtet])</f>
        <v>32.9</v>
      </c>
      <c r="V39" s="2" t="s">
        <v>148</v>
      </c>
    </row>
    <row r="40" spans="1:22" x14ac:dyDescent="0.2">
      <c r="A40" t="s">
        <v>0</v>
      </c>
      <c r="B40">
        <v>5</v>
      </c>
      <c r="C40" t="s">
        <v>18</v>
      </c>
      <c r="D40" t="s">
        <v>6</v>
      </c>
      <c r="E40" t="s">
        <v>39</v>
      </c>
      <c r="F40">
        <v>0</v>
      </c>
      <c r="G40">
        <v>0</v>
      </c>
      <c r="H40">
        <v>1</v>
      </c>
      <c r="I40">
        <v>1</v>
      </c>
      <c r="J40">
        <v>2</v>
      </c>
      <c r="K40">
        <v>0.6</v>
      </c>
      <c r="M40">
        <v>39</v>
      </c>
      <c r="N40">
        <f t="shared" si="2"/>
        <v>9</v>
      </c>
      <c r="O40">
        <f t="shared" si="1"/>
        <v>38</v>
      </c>
      <c r="Q40">
        <v>39</v>
      </c>
      <c r="R40" s="1">
        <f>Tabelle3[[#This Row],[Seite]]-0</f>
        <v>39</v>
      </c>
      <c r="S40">
        <v>9</v>
      </c>
      <c r="T40">
        <v>38</v>
      </c>
      <c r="U40" s="2" cm="1">
        <f t="array" ref="U40">SUMPRODUCT((Tabelle2[Seite]=Q40)*Tabelle2[Score_Gewichtet])</f>
        <v>8.65</v>
      </c>
      <c r="V40" s="2"/>
    </row>
    <row r="41" spans="1:22" x14ac:dyDescent="0.2">
      <c r="A41" t="s">
        <v>0</v>
      </c>
      <c r="B41">
        <v>5</v>
      </c>
      <c r="C41" t="s">
        <v>23</v>
      </c>
      <c r="D41" t="s">
        <v>33</v>
      </c>
      <c r="E41" t="s">
        <v>40</v>
      </c>
      <c r="F41">
        <v>0</v>
      </c>
      <c r="G41">
        <v>1</v>
      </c>
      <c r="H41">
        <v>0</v>
      </c>
      <c r="I41">
        <v>0</v>
      </c>
      <c r="J41">
        <v>1</v>
      </c>
      <c r="K41">
        <v>0.75</v>
      </c>
      <c r="M41">
        <v>40</v>
      </c>
      <c r="N41">
        <f t="shared" si="2"/>
        <v>10</v>
      </c>
      <c r="O41">
        <f t="shared" si="1"/>
        <v>31</v>
      </c>
      <c r="Q41">
        <v>40</v>
      </c>
      <c r="R41" s="1">
        <f>Tabelle3[[#This Row],[Seite]]-0</f>
        <v>40</v>
      </c>
      <c r="S41">
        <v>10</v>
      </c>
      <c r="T41">
        <v>31</v>
      </c>
      <c r="U41" s="2" cm="1">
        <f t="array" ref="U41">SUMPRODUCT((Tabelle2[Seite]=Q41)*Tabelle2[Score_Gewichtet])</f>
        <v>30.7</v>
      </c>
      <c r="V41" s="2" t="s">
        <v>147</v>
      </c>
    </row>
    <row r="42" spans="1:22" x14ac:dyDescent="0.2">
      <c r="A42" t="s">
        <v>0</v>
      </c>
      <c r="B42">
        <v>5</v>
      </c>
      <c r="C42" t="s">
        <v>27</v>
      </c>
      <c r="D42" t="s">
        <v>6</v>
      </c>
      <c r="E42" t="s">
        <v>41</v>
      </c>
      <c r="F42">
        <v>0</v>
      </c>
      <c r="G42">
        <v>0</v>
      </c>
      <c r="H42">
        <v>0</v>
      </c>
      <c r="I42">
        <v>3</v>
      </c>
      <c r="J42">
        <v>3</v>
      </c>
      <c r="K42">
        <v>0.3</v>
      </c>
      <c r="M42">
        <v>41</v>
      </c>
      <c r="N42">
        <f t="shared" si="2"/>
        <v>2</v>
      </c>
      <c r="O42">
        <f t="shared" si="1"/>
        <v>127</v>
      </c>
      <c r="Q42">
        <v>41</v>
      </c>
      <c r="R42" s="1">
        <f>Tabelle3[[#This Row],[Seite]]-0</f>
        <v>41</v>
      </c>
      <c r="S42">
        <v>2</v>
      </c>
      <c r="T42">
        <v>127</v>
      </c>
      <c r="U42" s="2" cm="1">
        <f t="array" ref="U42">SUMPRODUCT((Tabelle2[Seite]=Q42)*Tabelle2[Score_Gewichtet])</f>
        <v>1.75</v>
      </c>
      <c r="V42" s="2"/>
    </row>
    <row r="43" spans="1:22" x14ac:dyDescent="0.2">
      <c r="A43" t="s">
        <v>0</v>
      </c>
      <c r="B43">
        <v>6</v>
      </c>
      <c r="C43" t="s">
        <v>4</v>
      </c>
      <c r="D43" t="s">
        <v>2</v>
      </c>
      <c r="E43" t="s">
        <v>32</v>
      </c>
      <c r="F43">
        <v>0</v>
      </c>
      <c r="G43">
        <v>0</v>
      </c>
      <c r="H43">
        <v>0</v>
      </c>
      <c r="I43">
        <v>3</v>
      </c>
      <c r="J43">
        <v>3</v>
      </c>
      <c r="K43">
        <v>0.3</v>
      </c>
      <c r="M43">
        <v>42</v>
      </c>
      <c r="N43">
        <f t="shared" si="2"/>
        <v>5</v>
      </c>
      <c r="O43">
        <f t="shared" si="1"/>
        <v>89</v>
      </c>
      <c r="Q43">
        <v>42</v>
      </c>
      <c r="R43" s="1">
        <f>Tabelle3[[#This Row],[Seite]]-0</f>
        <v>42</v>
      </c>
      <c r="S43">
        <v>5</v>
      </c>
      <c r="T43">
        <v>89</v>
      </c>
      <c r="U43" s="2" cm="1">
        <f t="array" ref="U43">SUMPRODUCT((Tabelle2[Seite]=Q43)*Tabelle2[Score_Gewichtet])</f>
        <v>2.95</v>
      </c>
      <c r="V43" s="2"/>
    </row>
    <row r="44" spans="1:22" x14ac:dyDescent="0.2">
      <c r="A44" t="s">
        <v>0</v>
      </c>
      <c r="B44">
        <v>6</v>
      </c>
      <c r="C44" t="s">
        <v>23</v>
      </c>
      <c r="D44" t="s">
        <v>33</v>
      </c>
      <c r="E44" t="s">
        <v>34</v>
      </c>
      <c r="F44">
        <v>0</v>
      </c>
      <c r="G44">
        <v>0</v>
      </c>
      <c r="H44">
        <v>0</v>
      </c>
      <c r="I44">
        <v>3</v>
      </c>
      <c r="J44">
        <v>3</v>
      </c>
      <c r="K44">
        <v>0.3</v>
      </c>
      <c r="M44">
        <v>43</v>
      </c>
      <c r="N44">
        <f t="shared" si="2"/>
        <v>7</v>
      </c>
      <c r="O44">
        <f t="shared" si="1"/>
        <v>65</v>
      </c>
      <c r="Q44">
        <v>43</v>
      </c>
      <c r="R44" s="1">
        <f>Tabelle3[[#This Row],[Seite]]-0</f>
        <v>43</v>
      </c>
      <c r="S44">
        <v>7</v>
      </c>
      <c r="T44">
        <v>65</v>
      </c>
      <c r="U44" s="2" cm="1">
        <f t="array" ref="U44">SUMPRODUCT((Tabelle2[Seite]=Q44)*Tabelle2[Score_Gewichtet])</f>
        <v>5.4</v>
      </c>
      <c r="V44" s="2"/>
    </row>
    <row r="45" spans="1:22" x14ac:dyDescent="0.2">
      <c r="A45" t="s">
        <v>0</v>
      </c>
      <c r="B45">
        <v>6</v>
      </c>
      <c r="C45" t="s">
        <v>27</v>
      </c>
      <c r="D45" t="s">
        <v>2</v>
      </c>
      <c r="E45" t="s">
        <v>42</v>
      </c>
      <c r="F45">
        <v>0</v>
      </c>
      <c r="G45">
        <v>0</v>
      </c>
      <c r="H45">
        <v>1</v>
      </c>
      <c r="I45">
        <v>0</v>
      </c>
      <c r="J45">
        <v>1</v>
      </c>
      <c r="K45">
        <v>0.5</v>
      </c>
      <c r="M45">
        <v>44</v>
      </c>
      <c r="N45">
        <f t="shared" si="2"/>
        <v>9</v>
      </c>
      <c r="O45">
        <f t="shared" si="1"/>
        <v>38</v>
      </c>
      <c r="Q45">
        <v>44</v>
      </c>
      <c r="R45" s="1">
        <f>Tabelle3[[#This Row],[Seite]]-0</f>
        <v>44</v>
      </c>
      <c r="S45">
        <v>9</v>
      </c>
      <c r="T45">
        <v>38</v>
      </c>
      <c r="U45" s="2" cm="1">
        <f t="array" ref="U45">SUMPRODUCT((Tabelle2[Seite]=Q45)*Tabelle2[Score_Gewichtet])</f>
        <v>5.35</v>
      </c>
      <c r="V45" s="2"/>
    </row>
    <row r="46" spans="1:22" x14ac:dyDescent="0.2">
      <c r="A46" t="s">
        <v>0</v>
      </c>
      <c r="B46">
        <v>7</v>
      </c>
      <c r="C46" t="s">
        <v>4</v>
      </c>
      <c r="D46" t="s">
        <v>2</v>
      </c>
      <c r="E46" t="s">
        <v>32</v>
      </c>
      <c r="F46">
        <v>0</v>
      </c>
      <c r="G46">
        <v>1</v>
      </c>
      <c r="H46">
        <v>0</v>
      </c>
      <c r="I46">
        <v>0</v>
      </c>
      <c r="J46">
        <v>1</v>
      </c>
      <c r="K46">
        <v>0.75</v>
      </c>
      <c r="M46">
        <v>45</v>
      </c>
      <c r="N46">
        <f t="shared" si="2"/>
        <v>6</v>
      </c>
      <c r="O46">
        <f t="shared" si="1"/>
        <v>72</v>
      </c>
      <c r="Q46">
        <v>45</v>
      </c>
      <c r="R46" s="1">
        <f>Tabelle3[[#This Row],[Seite]]-0</f>
        <v>45</v>
      </c>
      <c r="S46">
        <v>6</v>
      </c>
      <c r="T46">
        <v>72</v>
      </c>
      <c r="U46" s="2" cm="1">
        <f t="array" ref="U46">SUMPRODUCT((Tabelle2[Seite]=Q46)*Tabelle2[Score_Gewichtet])</f>
        <v>4.0500000000000007</v>
      </c>
      <c r="V46" s="2"/>
    </row>
    <row r="47" spans="1:22" x14ac:dyDescent="0.2">
      <c r="A47" t="s">
        <v>0</v>
      </c>
      <c r="B47">
        <v>7</v>
      </c>
      <c r="C47" t="s">
        <v>23</v>
      </c>
      <c r="D47" t="s">
        <v>33</v>
      </c>
      <c r="E47" t="s">
        <v>34</v>
      </c>
      <c r="F47">
        <v>0</v>
      </c>
      <c r="G47">
        <v>1</v>
      </c>
      <c r="H47">
        <v>0</v>
      </c>
      <c r="I47">
        <v>0</v>
      </c>
      <c r="J47">
        <v>1</v>
      </c>
      <c r="K47">
        <v>0.75</v>
      </c>
      <c r="M47">
        <v>46</v>
      </c>
      <c r="N47">
        <f t="shared" si="2"/>
        <v>10</v>
      </c>
      <c r="O47">
        <f t="shared" si="1"/>
        <v>31</v>
      </c>
      <c r="Q47">
        <v>46</v>
      </c>
      <c r="R47" s="1">
        <f>Tabelle3[[#This Row],[Seite]]-0</f>
        <v>46</v>
      </c>
      <c r="S47">
        <v>10</v>
      </c>
      <c r="T47">
        <v>31</v>
      </c>
      <c r="U47" s="2" cm="1">
        <f t="array" ref="U47">SUMPRODUCT((Tabelle2[Seite]=Q47)*Tabelle2[Score_Gewichtet])</f>
        <v>7.25</v>
      </c>
      <c r="V47" s="2"/>
    </row>
    <row r="48" spans="1:22" x14ac:dyDescent="0.2">
      <c r="A48" t="s">
        <v>0</v>
      </c>
      <c r="B48">
        <v>8</v>
      </c>
      <c r="C48" t="s">
        <v>4</v>
      </c>
      <c r="D48" t="s">
        <v>2</v>
      </c>
      <c r="E48" t="s">
        <v>7</v>
      </c>
      <c r="F48">
        <v>0</v>
      </c>
      <c r="G48">
        <v>1</v>
      </c>
      <c r="H48">
        <v>0</v>
      </c>
      <c r="I48">
        <v>0</v>
      </c>
      <c r="J48">
        <v>1</v>
      </c>
      <c r="K48">
        <v>0.75</v>
      </c>
      <c r="M48">
        <v>47</v>
      </c>
      <c r="N48">
        <f t="shared" si="2"/>
        <v>6</v>
      </c>
      <c r="O48">
        <f t="shared" si="1"/>
        <v>72</v>
      </c>
      <c r="Q48">
        <v>47</v>
      </c>
      <c r="R48" s="1">
        <f>Tabelle3[[#This Row],[Seite]]-0</f>
        <v>47</v>
      </c>
      <c r="S48">
        <v>6</v>
      </c>
      <c r="T48">
        <v>72</v>
      </c>
      <c r="U48" s="2" cm="1">
        <f t="array" ref="U48">SUMPRODUCT((Tabelle2[Seite]=Q48)*Tabelle2[Score_Gewichtet])</f>
        <v>3.2</v>
      </c>
      <c r="V48" s="2"/>
    </row>
    <row r="49" spans="1:22" x14ac:dyDescent="0.2">
      <c r="A49" t="s">
        <v>0</v>
      </c>
      <c r="B49">
        <v>8</v>
      </c>
      <c r="C49" t="s">
        <v>15</v>
      </c>
      <c r="D49" t="s">
        <v>2</v>
      </c>
      <c r="E49" t="s">
        <v>16</v>
      </c>
      <c r="F49">
        <v>0</v>
      </c>
      <c r="G49">
        <v>1</v>
      </c>
      <c r="H49">
        <v>0</v>
      </c>
      <c r="I49">
        <v>0</v>
      </c>
      <c r="J49">
        <v>1</v>
      </c>
      <c r="K49">
        <v>0.75</v>
      </c>
      <c r="M49">
        <v>48</v>
      </c>
      <c r="N49">
        <f t="shared" si="2"/>
        <v>9</v>
      </c>
      <c r="O49">
        <f t="shared" si="1"/>
        <v>38</v>
      </c>
      <c r="Q49">
        <v>48</v>
      </c>
      <c r="R49" s="1">
        <f>Tabelle3[[#This Row],[Seite]]-0</f>
        <v>48</v>
      </c>
      <c r="S49">
        <v>9</v>
      </c>
      <c r="T49">
        <v>38</v>
      </c>
      <c r="U49" s="2" cm="1">
        <f t="array" ref="U49">SUMPRODUCT((Tabelle2[Seite]=Q49)*Tabelle2[Score_Gewichtet])</f>
        <v>5.9999999999999991</v>
      </c>
      <c r="V49" s="2"/>
    </row>
    <row r="50" spans="1:22" x14ac:dyDescent="0.2">
      <c r="A50" t="s">
        <v>0</v>
      </c>
      <c r="B50">
        <v>8</v>
      </c>
      <c r="C50" t="s">
        <v>18</v>
      </c>
      <c r="D50" t="s">
        <v>6</v>
      </c>
      <c r="E50" t="s">
        <v>19</v>
      </c>
      <c r="F50">
        <v>1</v>
      </c>
      <c r="G50">
        <v>0</v>
      </c>
      <c r="H50">
        <v>0</v>
      </c>
      <c r="I50">
        <v>0</v>
      </c>
      <c r="J50">
        <v>1</v>
      </c>
      <c r="K50">
        <v>1</v>
      </c>
      <c r="M50">
        <v>49</v>
      </c>
      <c r="N50">
        <f t="shared" si="2"/>
        <v>15</v>
      </c>
      <c r="O50">
        <f t="shared" si="1"/>
        <v>10</v>
      </c>
      <c r="Q50">
        <v>49</v>
      </c>
      <c r="R50" s="1">
        <f>Tabelle3[[#This Row],[Seite]]-0</f>
        <v>49</v>
      </c>
      <c r="S50">
        <v>15</v>
      </c>
      <c r="T50">
        <v>10</v>
      </c>
      <c r="U50" s="2" cm="1">
        <f t="array" ref="U50">SUMPRODUCT((Tabelle2[Seite]=Q50)*Tabelle2[Score_Gewichtet])</f>
        <v>10.849999999999998</v>
      </c>
      <c r="V50" s="2"/>
    </row>
    <row r="51" spans="1:22" x14ac:dyDescent="0.2">
      <c r="A51" t="s">
        <v>0</v>
      </c>
      <c r="B51">
        <v>9</v>
      </c>
      <c r="C51" t="s">
        <v>4</v>
      </c>
      <c r="D51" t="s">
        <v>2</v>
      </c>
      <c r="E51" t="s">
        <v>32</v>
      </c>
      <c r="F51">
        <v>0</v>
      </c>
      <c r="G51">
        <v>0</v>
      </c>
      <c r="H51">
        <v>0</v>
      </c>
      <c r="I51">
        <v>1</v>
      </c>
      <c r="J51">
        <v>1</v>
      </c>
      <c r="K51">
        <v>0.1</v>
      </c>
      <c r="M51">
        <v>50</v>
      </c>
      <c r="N51">
        <f t="shared" si="2"/>
        <v>7</v>
      </c>
      <c r="O51">
        <f t="shared" si="1"/>
        <v>65</v>
      </c>
      <c r="Q51">
        <v>50</v>
      </c>
      <c r="R51" s="1">
        <f>Tabelle3[[#This Row],[Seite]]-0</f>
        <v>50</v>
      </c>
      <c r="S51">
        <v>7</v>
      </c>
      <c r="T51">
        <v>65</v>
      </c>
      <c r="U51" s="2" cm="1">
        <f t="array" ref="U51">SUMPRODUCT((Tabelle2[Seite]=Q51)*Tabelle2[Score_Gewichtet])</f>
        <v>4.95</v>
      </c>
      <c r="V51" s="2"/>
    </row>
    <row r="52" spans="1:22" x14ac:dyDescent="0.2">
      <c r="A52" t="s">
        <v>0</v>
      </c>
      <c r="B52">
        <v>9</v>
      </c>
      <c r="C52" t="s">
        <v>15</v>
      </c>
      <c r="D52" t="s">
        <v>2</v>
      </c>
      <c r="E52" t="s">
        <v>16</v>
      </c>
      <c r="F52">
        <v>0</v>
      </c>
      <c r="G52">
        <v>1</v>
      </c>
      <c r="H52">
        <v>0</v>
      </c>
      <c r="I52">
        <v>0</v>
      </c>
      <c r="J52">
        <v>1</v>
      </c>
      <c r="K52">
        <v>0.75</v>
      </c>
      <c r="M52">
        <v>51</v>
      </c>
      <c r="N52">
        <f t="shared" si="2"/>
        <v>8</v>
      </c>
      <c r="O52">
        <f t="shared" si="1"/>
        <v>56</v>
      </c>
      <c r="Q52">
        <v>51</v>
      </c>
      <c r="R52" s="1">
        <f>Tabelle3[[#This Row],[Seite]]-0</f>
        <v>51</v>
      </c>
      <c r="S52">
        <v>8</v>
      </c>
      <c r="T52">
        <v>56</v>
      </c>
      <c r="U52" s="2" cm="1">
        <f t="array" ref="U52">SUMPRODUCT((Tabelle2[Seite]=Q52)*Tabelle2[Score_Gewichtet])</f>
        <v>4.1500000000000004</v>
      </c>
      <c r="V52" s="2"/>
    </row>
    <row r="53" spans="1:22" x14ac:dyDescent="0.2">
      <c r="A53" t="s">
        <v>0</v>
      </c>
      <c r="B53">
        <v>9</v>
      </c>
      <c r="C53" t="s">
        <v>18</v>
      </c>
      <c r="D53" t="s">
        <v>6</v>
      </c>
      <c r="E53" t="s">
        <v>19</v>
      </c>
      <c r="F53">
        <v>1</v>
      </c>
      <c r="G53">
        <v>0</v>
      </c>
      <c r="H53">
        <v>0</v>
      </c>
      <c r="I53">
        <v>0</v>
      </c>
      <c r="J53">
        <v>1</v>
      </c>
      <c r="K53">
        <v>1</v>
      </c>
      <c r="M53">
        <v>52</v>
      </c>
      <c r="N53">
        <f t="shared" si="2"/>
        <v>13</v>
      </c>
      <c r="O53">
        <f t="shared" si="1"/>
        <v>15</v>
      </c>
      <c r="Q53">
        <v>52</v>
      </c>
      <c r="R53" s="1">
        <f>Tabelle3[[#This Row],[Seite]]-0</f>
        <v>52</v>
      </c>
      <c r="S53">
        <v>13</v>
      </c>
      <c r="T53">
        <v>15</v>
      </c>
      <c r="U53" s="2" cm="1">
        <f t="array" ref="U53">SUMPRODUCT((Tabelle2[Seite]=Q53)*Tabelle2[Score_Gewichtet])</f>
        <v>14.2</v>
      </c>
      <c r="V53" s="2"/>
    </row>
    <row r="54" spans="1:22" x14ac:dyDescent="0.2">
      <c r="A54" t="s">
        <v>0</v>
      </c>
      <c r="B54">
        <v>9</v>
      </c>
      <c r="C54" t="s">
        <v>23</v>
      </c>
      <c r="D54" t="s">
        <v>33</v>
      </c>
      <c r="E54" t="s">
        <v>34</v>
      </c>
      <c r="F54">
        <v>0</v>
      </c>
      <c r="G54">
        <v>0</v>
      </c>
      <c r="H54">
        <v>1</v>
      </c>
      <c r="I54">
        <v>0</v>
      </c>
      <c r="J54">
        <v>1</v>
      </c>
      <c r="K54">
        <v>0.6</v>
      </c>
      <c r="M54">
        <v>53</v>
      </c>
      <c r="N54">
        <f t="shared" si="2"/>
        <v>10</v>
      </c>
      <c r="O54">
        <f t="shared" si="1"/>
        <v>31</v>
      </c>
      <c r="Q54">
        <v>53</v>
      </c>
      <c r="R54" s="1">
        <f>Tabelle3[[#This Row],[Seite]]-0</f>
        <v>53</v>
      </c>
      <c r="S54">
        <v>10</v>
      </c>
      <c r="T54">
        <v>31</v>
      </c>
      <c r="U54" s="2" cm="1">
        <f t="array" ref="U54">SUMPRODUCT((Tabelle2[Seite]=Q54)*Tabelle2[Score_Gewichtet])</f>
        <v>10.45</v>
      </c>
      <c r="V54" s="2"/>
    </row>
    <row r="55" spans="1:22" x14ac:dyDescent="0.2">
      <c r="A55" t="s">
        <v>0</v>
      </c>
      <c r="B55">
        <v>10</v>
      </c>
      <c r="C55" t="s">
        <v>4</v>
      </c>
      <c r="D55" t="s">
        <v>2</v>
      </c>
      <c r="E55" t="s">
        <v>43</v>
      </c>
      <c r="F55">
        <v>0</v>
      </c>
      <c r="G55">
        <v>3</v>
      </c>
      <c r="H55">
        <v>0</v>
      </c>
      <c r="I55">
        <v>0</v>
      </c>
      <c r="J55">
        <v>3</v>
      </c>
      <c r="K55">
        <v>2.25</v>
      </c>
      <c r="M55">
        <v>54</v>
      </c>
      <c r="N55">
        <f t="shared" si="2"/>
        <v>15</v>
      </c>
      <c r="O55">
        <f t="shared" si="1"/>
        <v>10</v>
      </c>
      <c r="Q55">
        <v>54</v>
      </c>
      <c r="R55" s="1">
        <f>Tabelle3[[#This Row],[Seite]]-0</f>
        <v>54</v>
      </c>
      <c r="S55">
        <v>15</v>
      </c>
      <c r="T55">
        <v>10</v>
      </c>
      <c r="U55" s="2" cm="1">
        <f t="array" ref="U55">SUMPRODUCT((Tabelle2[Seite]=Q55)*Tabelle2[Score_Gewichtet])</f>
        <v>13.45</v>
      </c>
      <c r="V55" s="2"/>
    </row>
    <row r="56" spans="1:22" x14ac:dyDescent="0.2">
      <c r="A56" t="s">
        <v>0</v>
      </c>
      <c r="B56">
        <v>10</v>
      </c>
      <c r="C56" t="s">
        <v>4</v>
      </c>
      <c r="D56" t="s">
        <v>33</v>
      </c>
      <c r="E56" t="s">
        <v>44</v>
      </c>
      <c r="F56">
        <v>0</v>
      </c>
      <c r="G56">
        <v>5</v>
      </c>
      <c r="H56">
        <v>0</v>
      </c>
      <c r="I56">
        <v>0</v>
      </c>
      <c r="J56">
        <v>5</v>
      </c>
      <c r="K56">
        <v>3.75</v>
      </c>
      <c r="M56">
        <v>55</v>
      </c>
      <c r="N56">
        <f t="shared" si="2"/>
        <v>9</v>
      </c>
      <c r="O56">
        <f t="shared" si="1"/>
        <v>38</v>
      </c>
      <c r="Q56">
        <v>55</v>
      </c>
      <c r="R56" s="1">
        <f>Tabelle3[[#This Row],[Seite]]-0</f>
        <v>55</v>
      </c>
      <c r="S56">
        <v>9</v>
      </c>
      <c r="T56">
        <v>38</v>
      </c>
      <c r="U56" s="2" cm="1">
        <f t="array" ref="U56">SUMPRODUCT((Tabelle2[Seite]=Q56)*Tabelle2[Score_Gewichtet])</f>
        <v>9.35</v>
      </c>
      <c r="V56" s="2"/>
    </row>
    <row r="57" spans="1:22" x14ac:dyDescent="0.2">
      <c r="A57" t="s">
        <v>0</v>
      </c>
      <c r="B57">
        <v>10</v>
      </c>
      <c r="C57" t="s">
        <v>4</v>
      </c>
      <c r="D57" t="s">
        <v>2</v>
      </c>
      <c r="E57" t="s">
        <v>32</v>
      </c>
      <c r="F57">
        <v>0</v>
      </c>
      <c r="G57">
        <v>0</v>
      </c>
      <c r="H57">
        <v>2</v>
      </c>
      <c r="I57">
        <v>0</v>
      </c>
      <c r="J57">
        <v>2</v>
      </c>
      <c r="K57">
        <v>1</v>
      </c>
      <c r="M57">
        <v>56</v>
      </c>
      <c r="N57">
        <f t="shared" si="2"/>
        <v>3</v>
      </c>
      <c r="O57">
        <f t="shared" si="1"/>
        <v>112</v>
      </c>
      <c r="Q57">
        <v>56</v>
      </c>
      <c r="R57" s="1">
        <f>Tabelle3[[#This Row],[Seite]]-0</f>
        <v>56</v>
      </c>
      <c r="S57">
        <v>3</v>
      </c>
      <c r="T57">
        <v>112</v>
      </c>
      <c r="U57" s="2" cm="1">
        <f t="array" ref="U57">SUMPRODUCT((Tabelle2[Seite]=Q57)*Tabelle2[Score_Gewichtet])</f>
        <v>4.95</v>
      </c>
      <c r="V57" s="2"/>
    </row>
    <row r="58" spans="1:22" x14ac:dyDescent="0.2">
      <c r="A58" t="s">
        <v>0</v>
      </c>
      <c r="B58">
        <v>10</v>
      </c>
      <c r="C58" t="s">
        <v>1</v>
      </c>
      <c r="D58" t="s">
        <v>6</v>
      </c>
      <c r="E58" t="s">
        <v>44</v>
      </c>
      <c r="F58">
        <v>0</v>
      </c>
      <c r="G58">
        <v>5</v>
      </c>
      <c r="H58">
        <v>0</v>
      </c>
      <c r="I58">
        <v>0</v>
      </c>
      <c r="J58">
        <v>5</v>
      </c>
      <c r="K58">
        <v>3.75</v>
      </c>
      <c r="M58">
        <v>57</v>
      </c>
      <c r="N58">
        <f t="shared" si="2"/>
        <v>13</v>
      </c>
      <c r="O58">
        <f t="shared" si="1"/>
        <v>15</v>
      </c>
      <c r="Q58">
        <v>57</v>
      </c>
      <c r="R58" s="1">
        <f>Tabelle3[[#This Row],[Seite]]-0</f>
        <v>57</v>
      </c>
      <c r="S58">
        <v>13</v>
      </c>
      <c r="T58">
        <v>15</v>
      </c>
      <c r="U58" s="2" cm="1">
        <f t="array" ref="U58">SUMPRODUCT((Tabelle2[Seite]=Q58)*Tabelle2[Score_Gewichtet])</f>
        <v>10.6</v>
      </c>
      <c r="V58" s="2"/>
    </row>
    <row r="59" spans="1:22" x14ac:dyDescent="0.2">
      <c r="A59" t="s">
        <v>0</v>
      </c>
      <c r="B59">
        <v>10</v>
      </c>
      <c r="C59" t="s">
        <v>15</v>
      </c>
      <c r="D59" t="s">
        <v>2</v>
      </c>
      <c r="E59" t="s">
        <v>16</v>
      </c>
      <c r="F59">
        <v>0</v>
      </c>
      <c r="G59">
        <v>1</v>
      </c>
      <c r="H59">
        <v>0</v>
      </c>
      <c r="I59">
        <v>0</v>
      </c>
      <c r="J59">
        <v>1</v>
      </c>
      <c r="K59">
        <v>0.75</v>
      </c>
      <c r="M59">
        <v>58</v>
      </c>
      <c r="N59">
        <f t="shared" si="2"/>
        <v>2</v>
      </c>
      <c r="O59">
        <f t="shared" si="1"/>
        <v>127</v>
      </c>
      <c r="Q59">
        <v>58</v>
      </c>
      <c r="R59" s="1">
        <f>Tabelle3[[#This Row],[Seite]]-0</f>
        <v>58</v>
      </c>
      <c r="S59">
        <v>2</v>
      </c>
      <c r="T59">
        <v>127</v>
      </c>
      <c r="U59" s="2" cm="1">
        <f t="array" ref="U59">SUMPRODUCT((Tabelle2[Seite]=Q59)*Tabelle2[Score_Gewichtet])</f>
        <v>0.2</v>
      </c>
      <c r="V59" s="2"/>
    </row>
    <row r="60" spans="1:22" x14ac:dyDescent="0.2">
      <c r="A60" t="s">
        <v>0</v>
      </c>
      <c r="B60">
        <v>10</v>
      </c>
      <c r="C60" t="s">
        <v>18</v>
      </c>
      <c r="D60" t="s">
        <v>6</v>
      </c>
      <c r="E60" t="s">
        <v>19</v>
      </c>
      <c r="F60">
        <v>1</v>
      </c>
      <c r="G60">
        <v>0</v>
      </c>
      <c r="H60">
        <v>0</v>
      </c>
      <c r="I60">
        <v>0</v>
      </c>
      <c r="J60">
        <v>1</v>
      </c>
      <c r="K60">
        <v>1</v>
      </c>
      <c r="M60">
        <v>59</v>
      </c>
      <c r="N60">
        <f t="shared" si="2"/>
        <v>12</v>
      </c>
      <c r="O60">
        <f t="shared" si="1"/>
        <v>22</v>
      </c>
      <c r="Q60">
        <v>59</v>
      </c>
      <c r="R60" s="1">
        <f>Tabelle3[[#This Row],[Seite]]-0</f>
        <v>59</v>
      </c>
      <c r="S60">
        <v>12</v>
      </c>
      <c r="T60">
        <v>22</v>
      </c>
      <c r="U60" s="2" cm="1">
        <f t="array" ref="U60">SUMPRODUCT((Tabelle2[Seite]=Q60)*Tabelle2[Score_Gewichtet])</f>
        <v>6.35</v>
      </c>
      <c r="V60" s="2"/>
    </row>
    <row r="61" spans="1:22" x14ac:dyDescent="0.2">
      <c r="A61" t="s">
        <v>0</v>
      </c>
      <c r="B61">
        <v>10</v>
      </c>
      <c r="C61" t="s">
        <v>23</v>
      </c>
      <c r="D61" t="s">
        <v>33</v>
      </c>
      <c r="E61" t="s">
        <v>34</v>
      </c>
      <c r="F61">
        <v>0</v>
      </c>
      <c r="G61">
        <v>0</v>
      </c>
      <c r="H61">
        <v>2</v>
      </c>
      <c r="I61">
        <v>0</v>
      </c>
      <c r="J61">
        <v>2</v>
      </c>
      <c r="K61">
        <v>1</v>
      </c>
      <c r="M61">
        <v>60</v>
      </c>
      <c r="N61">
        <f t="shared" si="2"/>
        <v>7</v>
      </c>
      <c r="O61">
        <f t="shared" si="1"/>
        <v>65</v>
      </c>
      <c r="Q61">
        <v>60</v>
      </c>
      <c r="R61" s="1">
        <f>Tabelle3[[#This Row],[Seite]]-0</f>
        <v>60</v>
      </c>
      <c r="S61">
        <v>7</v>
      </c>
      <c r="T61">
        <v>65</v>
      </c>
      <c r="U61" s="2" cm="1">
        <f t="array" ref="U61">SUMPRODUCT((Tabelle2[Seite]=Q61)*Tabelle2[Score_Gewichtet])</f>
        <v>6.6</v>
      </c>
      <c r="V61" s="2"/>
    </row>
    <row r="62" spans="1:22" x14ac:dyDescent="0.2">
      <c r="A62" t="s">
        <v>0</v>
      </c>
      <c r="B62">
        <v>10</v>
      </c>
      <c r="C62" t="s">
        <v>23</v>
      </c>
      <c r="D62" t="s">
        <v>6</v>
      </c>
      <c r="E62" t="s">
        <v>44</v>
      </c>
      <c r="F62">
        <v>0</v>
      </c>
      <c r="G62">
        <v>5</v>
      </c>
      <c r="H62">
        <v>0</v>
      </c>
      <c r="I62">
        <v>0</v>
      </c>
      <c r="J62">
        <v>5</v>
      </c>
      <c r="K62">
        <v>3.75</v>
      </c>
      <c r="M62">
        <v>61</v>
      </c>
      <c r="N62">
        <f t="shared" si="2"/>
        <v>9</v>
      </c>
      <c r="O62">
        <f t="shared" si="1"/>
        <v>38</v>
      </c>
      <c r="Q62">
        <v>61</v>
      </c>
      <c r="R62" s="1">
        <f>Tabelle3[[#This Row],[Seite]]-0</f>
        <v>61</v>
      </c>
      <c r="S62">
        <v>9</v>
      </c>
      <c r="T62">
        <v>38</v>
      </c>
      <c r="U62" s="2" cm="1">
        <f t="array" ref="U62">SUMPRODUCT((Tabelle2[Seite]=Q62)*Tabelle2[Score_Gewichtet])</f>
        <v>3.6000000000000005</v>
      </c>
      <c r="V62" s="2"/>
    </row>
    <row r="63" spans="1:22" x14ac:dyDescent="0.2">
      <c r="A63" t="s">
        <v>0</v>
      </c>
      <c r="B63">
        <v>10</v>
      </c>
      <c r="C63" t="s">
        <v>27</v>
      </c>
      <c r="D63" t="s">
        <v>2</v>
      </c>
      <c r="E63" t="s">
        <v>31</v>
      </c>
      <c r="F63">
        <v>0</v>
      </c>
      <c r="G63">
        <v>0</v>
      </c>
      <c r="H63">
        <v>1</v>
      </c>
      <c r="I63">
        <v>0</v>
      </c>
      <c r="J63">
        <v>1</v>
      </c>
      <c r="K63">
        <v>0.5</v>
      </c>
      <c r="M63">
        <v>62</v>
      </c>
      <c r="N63">
        <f t="shared" si="2"/>
        <v>4</v>
      </c>
      <c r="O63">
        <f t="shared" si="1"/>
        <v>100</v>
      </c>
      <c r="Q63">
        <v>62</v>
      </c>
      <c r="R63" s="1">
        <f>Tabelle3[[#This Row],[Seite]]-0</f>
        <v>62</v>
      </c>
      <c r="S63">
        <v>4</v>
      </c>
      <c r="T63">
        <v>100</v>
      </c>
      <c r="U63" s="2" cm="1">
        <f t="array" ref="U63">SUMPRODUCT((Tabelle2[Seite]=Q63)*Tabelle2[Score_Gewichtet])</f>
        <v>2.35</v>
      </c>
      <c r="V63" s="2"/>
    </row>
    <row r="64" spans="1:22" x14ac:dyDescent="0.2">
      <c r="A64" t="s">
        <v>0</v>
      </c>
      <c r="B64">
        <v>11</v>
      </c>
      <c r="C64" t="s">
        <v>4</v>
      </c>
      <c r="D64" t="s">
        <v>6</v>
      </c>
      <c r="E64" t="s">
        <v>45</v>
      </c>
      <c r="F64">
        <v>0</v>
      </c>
      <c r="G64">
        <v>0</v>
      </c>
      <c r="H64">
        <v>1</v>
      </c>
      <c r="I64">
        <v>0</v>
      </c>
      <c r="J64">
        <v>1</v>
      </c>
      <c r="K64">
        <v>0.5</v>
      </c>
      <c r="M64">
        <v>63</v>
      </c>
      <c r="N64">
        <f t="shared" si="2"/>
        <v>10</v>
      </c>
      <c r="O64">
        <f t="shared" si="1"/>
        <v>31</v>
      </c>
      <c r="Q64">
        <v>63</v>
      </c>
      <c r="R64" s="1">
        <f>Tabelle3[[#This Row],[Seite]]-0</f>
        <v>63</v>
      </c>
      <c r="S64">
        <v>10</v>
      </c>
      <c r="T64">
        <v>31</v>
      </c>
      <c r="U64" s="2" cm="1">
        <f t="array" ref="U64">SUMPRODUCT((Tabelle2[Seite]=Q64)*Tabelle2[Score_Gewichtet])</f>
        <v>5.15</v>
      </c>
      <c r="V64" s="2"/>
    </row>
    <row r="65" spans="1:22" x14ac:dyDescent="0.2">
      <c r="A65" t="s">
        <v>0</v>
      </c>
      <c r="B65">
        <v>11</v>
      </c>
      <c r="C65" t="s">
        <v>1</v>
      </c>
      <c r="D65" t="s">
        <v>33</v>
      </c>
      <c r="E65" t="s">
        <v>45</v>
      </c>
      <c r="F65">
        <v>0</v>
      </c>
      <c r="G65">
        <v>0</v>
      </c>
      <c r="H65">
        <v>1</v>
      </c>
      <c r="I65">
        <v>0</v>
      </c>
      <c r="J65">
        <v>1</v>
      </c>
      <c r="K65">
        <v>0.5</v>
      </c>
      <c r="M65">
        <v>64</v>
      </c>
      <c r="N65">
        <f t="shared" si="2"/>
        <v>4</v>
      </c>
      <c r="O65">
        <f t="shared" si="1"/>
        <v>100</v>
      </c>
      <c r="Q65">
        <v>64</v>
      </c>
      <c r="R65" s="1">
        <f>Tabelle3[[#This Row],[Seite]]-0</f>
        <v>64</v>
      </c>
      <c r="S65">
        <v>4</v>
      </c>
      <c r="T65">
        <v>100</v>
      </c>
      <c r="U65" s="2" cm="1">
        <f t="array" ref="U65">SUMPRODUCT((Tabelle2[Seite]=Q65)*Tabelle2[Score_Gewichtet])</f>
        <v>3.55</v>
      </c>
      <c r="V65" s="2"/>
    </row>
    <row r="66" spans="1:22" x14ac:dyDescent="0.2">
      <c r="A66" t="s">
        <v>0</v>
      </c>
      <c r="B66">
        <v>11</v>
      </c>
      <c r="C66" t="s">
        <v>15</v>
      </c>
      <c r="D66" t="s">
        <v>2</v>
      </c>
      <c r="E66" t="s">
        <v>46</v>
      </c>
      <c r="F66">
        <v>1</v>
      </c>
      <c r="G66">
        <v>0</v>
      </c>
      <c r="H66">
        <v>0</v>
      </c>
      <c r="I66">
        <v>0</v>
      </c>
      <c r="J66">
        <v>1</v>
      </c>
      <c r="K66">
        <v>1</v>
      </c>
      <c r="M66">
        <v>65</v>
      </c>
      <c r="N66">
        <f t="shared" ref="N66:N97" si="3">COUNTIF(B$2:B$1069, M66)</f>
        <v>3</v>
      </c>
      <c r="O66">
        <f t="shared" si="1"/>
        <v>112</v>
      </c>
      <c r="Q66">
        <v>65</v>
      </c>
      <c r="R66" s="1">
        <f>Tabelle3[[#This Row],[Seite]]-0</f>
        <v>65</v>
      </c>
      <c r="S66">
        <v>3</v>
      </c>
      <c r="T66">
        <v>112</v>
      </c>
      <c r="U66" s="2" cm="1">
        <f t="array" ref="U66">SUMPRODUCT((Tabelle2[Seite]=Q66)*Tabelle2[Score_Gewichtet])</f>
        <v>0.95</v>
      </c>
      <c r="V66" s="2"/>
    </row>
    <row r="67" spans="1:22" x14ac:dyDescent="0.2">
      <c r="A67" t="s">
        <v>0</v>
      </c>
      <c r="B67">
        <v>11</v>
      </c>
      <c r="C67" t="s">
        <v>15</v>
      </c>
      <c r="D67" t="s">
        <v>6</v>
      </c>
      <c r="E67" t="s">
        <v>17</v>
      </c>
      <c r="F67">
        <v>0</v>
      </c>
      <c r="G67">
        <v>0</v>
      </c>
      <c r="H67">
        <v>1</v>
      </c>
      <c r="I67">
        <v>0</v>
      </c>
      <c r="J67">
        <v>1</v>
      </c>
      <c r="K67">
        <v>0.5</v>
      </c>
      <c r="M67">
        <v>66</v>
      </c>
      <c r="N67">
        <f t="shared" si="3"/>
        <v>7</v>
      </c>
      <c r="O67">
        <f t="shared" ref="O67:O130" si="4">RANK(N67, $N$2:$N$139)</f>
        <v>65</v>
      </c>
      <c r="Q67">
        <v>66</v>
      </c>
      <c r="R67" s="1">
        <f>Tabelle3[[#This Row],[Seite]]-0</f>
        <v>66</v>
      </c>
      <c r="S67">
        <v>7</v>
      </c>
      <c r="T67">
        <v>65</v>
      </c>
      <c r="U67" s="2" cm="1">
        <f t="array" ref="U67">SUMPRODUCT((Tabelle2[Seite]=Q67)*Tabelle2[Score_Gewichtet])</f>
        <v>5.55</v>
      </c>
      <c r="V67" s="2"/>
    </row>
    <row r="68" spans="1:22" x14ac:dyDescent="0.2">
      <c r="A68" t="s">
        <v>0</v>
      </c>
      <c r="B68">
        <v>11</v>
      </c>
      <c r="C68" t="s">
        <v>23</v>
      </c>
      <c r="D68" t="s">
        <v>2</v>
      </c>
      <c r="E68" t="s">
        <v>26</v>
      </c>
      <c r="F68">
        <v>0</v>
      </c>
      <c r="G68">
        <v>0</v>
      </c>
      <c r="H68">
        <v>0</v>
      </c>
      <c r="I68">
        <v>1</v>
      </c>
      <c r="J68">
        <v>1</v>
      </c>
      <c r="K68">
        <v>0.1</v>
      </c>
      <c r="M68">
        <v>67</v>
      </c>
      <c r="N68">
        <f t="shared" si="3"/>
        <v>12</v>
      </c>
      <c r="O68">
        <f t="shared" si="4"/>
        <v>22</v>
      </c>
      <c r="Q68">
        <v>67</v>
      </c>
      <c r="R68" s="1">
        <f>Tabelle3[[#This Row],[Seite]]-0</f>
        <v>67</v>
      </c>
      <c r="S68">
        <v>12</v>
      </c>
      <c r="T68">
        <v>22</v>
      </c>
      <c r="U68" s="2" cm="1">
        <f t="array" ref="U68">SUMPRODUCT((Tabelle2[Seite]=Q68)*Tabelle2[Score_Gewichtet])</f>
        <v>5.8</v>
      </c>
      <c r="V68" s="2"/>
    </row>
    <row r="69" spans="1:22" x14ac:dyDescent="0.2">
      <c r="A69" t="s">
        <v>0</v>
      </c>
      <c r="B69">
        <v>12</v>
      </c>
      <c r="C69" t="s">
        <v>4</v>
      </c>
      <c r="D69" t="s">
        <v>6</v>
      </c>
      <c r="E69" t="s">
        <v>45</v>
      </c>
      <c r="F69">
        <v>0</v>
      </c>
      <c r="G69">
        <v>1</v>
      </c>
      <c r="H69">
        <v>0</v>
      </c>
      <c r="I69">
        <v>0</v>
      </c>
      <c r="J69">
        <v>1</v>
      </c>
      <c r="K69">
        <v>0.75</v>
      </c>
      <c r="M69">
        <v>68</v>
      </c>
      <c r="N69">
        <f t="shared" si="3"/>
        <v>5</v>
      </c>
      <c r="O69">
        <f t="shared" si="4"/>
        <v>89</v>
      </c>
      <c r="Q69">
        <v>68</v>
      </c>
      <c r="R69" s="1">
        <f>Tabelle3[[#This Row],[Seite]]-0</f>
        <v>68</v>
      </c>
      <c r="S69">
        <v>5</v>
      </c>
      <c r="T69">
        <v>89</v>
      </c>
      <c r="U69" s="2" cm="1">
        <f t="array" ref="U69">SUMPRODUCT((Tabelle2[Seite]=Q69)*Tabelle2[Score_Gewichtet])</f>
        <v>2.4500000000000002</v>
      </c>
      <c r="V69" s="2"/>
    </row>
    <row r="70" spans="1:22" x14ac:dyDescent="0.2">
      <c r="A70" t="s">
        <v>0</v>
      </c>
      <c r="B70">
        <v>12</v>
      </c>
      <c r="C70" t="s">
        <v>1</v>
      </c>
      <c r="D70" t="s">
        <v>33</v>
      </c>
      <c r="E70" t="s">
        <v>45</v>
      </c>
      <c r="F70">
        <v>0</v>
      </c>
      <c r="G70">
        <v>1</v>
      </c>
      <c r="H70">
        <v>0</v>
      </c>
      <c r="I70">
        <v>0</v>
      </c>
      <c r="J70">
        <v>1</v>
      </c>
      <c r="K70">
        <v>0.75</v>
      </c>
      <c r="M70">
        <v>69</v>
      </c>
      <c r="N70">
        <f t="shared" si="3"/>
        <v>4</v>
      </c>
      <c r="O70">
        <f t="shared" si="4"/>
        <v>100</v>
      </c>
      <c r="Q70">
        <v>69</v>
      </c>
      <c r="R70" s="1">
        <f>Tabelle3[[#This Row],[Seite]]-0</f>
        <v>69</v>
      </c>
      <c r="S70">
        <v>4</v>
      </c>
      <c r="T70">
        <v>100</v>
      </c>
      <c r="U70" s="2" cm="1">
        <f t="array" ref="U70">SUMPRODUCT((Tabelle2[Seite]=Q70)*Tabelle2[Score_Gewichtet])</f>
        <v>1.8</v>
      </c>
      <c r="V70" s="2"/>
    </row>
    <row r="71" spans="1:22" x14ac:dyDescent="0.2">
      <c r="A71" t="s">
        <v>0</v>
      </c>
      <c r="B71">
        <v>12</v>
      </c>
      <c r="C71" t="s">
        <v>18</v>
      </c>
      <c r="D71" t="s">
        <v>6</v>
      </c>
      <c r="E71" t="s">
        <v>47</v>
      </c>
      <c r="F71">
        <v>0</v>
      </c>
      <c r="G71">
        <v>0</v>
      </c>
      <c r="H71">
        <v>0</v>
      </c>
      <c r="I71">
        <v>1</v>
      </c>
      <c r="J71">
        <v>1</v>
      </c>
      <c r="K71">
        <v>0.1</v>
      </c>
      <c r="M71">
        <v>70</v>
      </c>
      <c r="N71">
        <f t="shared" si="3"/>
        <v>5</v>
      </c>
      <c r="O71">
        <f t="shared" si="4"/>
        <v>89</v>
      </c>
      <c r="Q71">
        <v>70</v>
      </c>
      <c r="R71" s="1">
        <f>Tabelle3[[#This Row],[Seite]]-0</f>
        <v>70</v>
      </c>
      <c r="S71">
        <v>5</v>
      </c>
      <c r="T71">
        <v>89</v>
      </c>
      <c r="U71" s="2" cm="1">
        <f t="array" ref="U71">SUMPRODUCT((Tabelle2[Seite]=Q71)*Tabelle2[Score_Gewichtet])</f>
        <v>4.3500000000000005</v>
      </c>
      <c r="V71" s="2"/>
    </row>
    <row r="72" spans="1:22" x14ac:dyDescent="0.2">
      <c r="A72" t="s">
        <v>0</v>
      </c>
      <c r="B72">
        <v>13</v>
      </c>
      <c r="C72" t="s">
        <v>15</v>
      </c>
      <c r="D72" t="s">
        <v>6</v>
      </c>
      <c r="E72" t="s">
        <v>17</v>
      </c>
      <c r="F72">
        <v>0</v>
      </c>
      <c r="G72">
        <v>0</v>
      </c>
      <c r="H72">
        <v>1</v>
      </c>
      <c r="I72">
        <v>0</v>
      </c>
      <c r="J72">
        <v>1</v>
      </c>
      <c r="K72">
        <v>0.6</v>
      </c>
      <c r="M72">
        <v>71</v>
      </c>
      <c r="N72">
        <f t="shared" si="3"/>
        <v>2</v>
      </c>
      <c r="O72">
        <f t="shared" si="4"/>
        <v>127</v>
      </c>
      <c r="Q72">
        <v>71</v>
      </c>
      <c r="R72" s="1">
        <f>Tabelle3[[#This Row],[Seite]]-0</f>
        <v>71</v>
      </c>
      <c r="S72">
        <v>2</v>
      </c>
      <c r="T72">
        <v>127</v>
      </c>
      <c r="U72" s="2" cm="1">
        <f t="array" ref="U72">SUMPRODUCT((Tabelle2[Seite]=Q72)*Tabelle2[Score_Gewichtet])</f>
        <v>1.6</v>
      </c>
      <c r="V72" s="2"/>
    </row>
    <row r="73" spans="1:22" x14ac:dyDescent="0.2">
      <c r="A73" t="s">
        <v>0</v>
      </c>
      <c r="B73">
        <v>13</v>
      </c>
      <c r="C73" t="s">
        <v>23</v>
      </c>
      <c r="D73" t="s">
        <v>6</v>
      </c>
      <c r="E73" t="s">
        <v>24</v>
      </c>
      <c r="F73">
        <v>0</v>
      </c>
      <c r="G73">
        <v>0</v>
      </c>
      <c r="H73">
        <v>1</v>
      </c>
      <c r="I73">
        <v>0</v>
      </c>
      <c r="J73">
        <v>1</v>
      </c>
      <c r="K73">
        <v>0.5</v>
      </c>
      <c r="M73">
        <v>72</v>
      </c>
      <c r="N73">
        <f t="shared" si="3"/>
        <v>3</v>
      </c>
      <c r="O73">
        <f t="shared" si="4"/>
        <v>112</v>
      </c>
      <c r="Q73">
        <v>72</v>
      </c>
      <c r="R73" s="1">
        <f>Tabelle3[[#This Row],[Seite]]-0</f>
        <v>72</v>
      </c>
      <c r="S73">
        <v>3</v>
      </c>
      <c r="T73">
        <v>112</v>
      </c>
      <c r="U73" s="2" cm="1">
        <f t="array" ref="U73">SUMPRODUCT((Tabelle2[Seite]=Q73)*Tabelle2[Score_Gewichtet])</f>
        <v>2</v>
      </c>
      <c r="V73" s="2"/>
    </row>
    <row r="74" spans="1:22" x14ac:dyDescent="0.2">
      <c r="A74" t="s">
        <v>0</v>
      </c>
      <c r="B74">
        <v>13</v>
      </c>
      <c r="C74" t="s">
        <v>23</v>
      </c>
      <c r="D74" t="s">
        <v>2</v>
      </c>
      <c r="E74" t="s">
        <v>26</v>
      </c>
      <c r="F74">
        <v>0</v>
      </c>
      <c r="G74">
        <v>0</v>
      </c>
      <c r="H74">
        <v>1</v>
      </c>
      <c r="I74">
        <v>0</v>
      </c>
      <c r="J74">
        <v>1</v>
      </c>
      <c r="K74">
        <v>0.5</v>
      </c>
      <c r="M74">
        <v>73</v>
      </c>
      <c r="N74">
        <f t="shared" si="3"/>
        <v>6</v>
      </c>
      <c r="O74">
        <f t="shared" si="4"/>
        <v>72</v>
      </c>
      <c r="Q74">
        <v>73</v>
      </c>
      <c r="R74" s="1">
        <f>Tabelle3[[#This Row],[Seite]]-0</f>
        <v>73</v>
      </c>
      <c r="S74">
        <v>6</v>
      </c>
      <c r="T74">
        <v>72</v>
      </c>
      <c r="U74" s="2" cm="1">
        <f t="array" ref="U74">SUMPRODUCT((Tabelle2[Seite]=Q74)*Tabelle2[Score_Gewichtet])</f>
        <v>7.6</v>
      </c>
      <c r="V74" s="2"/>
    </row>
    <row r="75" spans="1:22" x14ac:dyDescent="0.2">
      <c r="A75" t="s">
        <v>0</v>
      </c>
      <c r="B75">
        <v>14</v>
      </c>
      <c r="C75" t="s">
        <v>4</v>
      </c>
      <c r="D75" t="s">
        <v>6</v>
      </c>
      <c r="E75" t="s">
        <v>45</v>
      </c>
      <c r="F75">
        <v>0</v>
      </c>
      <c r="G75">
        <v>1</v>
      </c>
      <c r="H75">
        <v>1</v>
      </c>
      <c r="I75">
        <v>0</v>
      </c>
      <c r="J75">
        <v>2</v>
      </c>
      <c r="K75">
        <v>1.35</v>
      </c>
      <c r="M75">
        <v>74</v>
      </c>
      <c r="N75">
        <f t="shared" si="3"/>
        <v>14</v>
      </c>
      <c r="O75">
        <f t="shared" si="4"/>
        <v>12</v>
      </c>
      <c r="Q75">
        <v>74</v>
      </c>
      <c r="R75" s="1">
        <f>Tabelle3[[#This Row],[Seite]]-0</f>
        <v>74</v>
      </c>
      <c r="S75">
        <v>14</v>
      </c>
      <c r="T75">
        <v>12</v>
      </c>
      <c r="U75" s="2" cm="1">
        <f t="array" ref="U75">SUMPRODUCT((Tabelle2[Seite]=Q75)*Tabelle2[Score_Gewichtet])</f>
        <v>22.7</v>
      </c>
      <c r="V75" s="2"/>
    </row>
    <row r="76" spans="1:22" x14ac:dyDescent="0.2">
      <c r="A76" t="s">
        <v>0</v>
      </c>
      <c r="B76">
        <v>14</v>
      </c>
      <c r="C76" t="s">
        <v>4</v>
      </c>
      <c r="D76" t="s">
        <v>2</v>
      </c>
      <c r="E76" t="s">
        <v>48</v>
      </c>
      <c r="F76">
        <v>0</v>
      </c>
      <c r="G76">
        <v>1</v>
      </c>
      <c r="H76">
        <v>0</v>
      </c>
      <c r="I76">
        <v>0</v>
      </c>
      <c r="J76">
        <v>1</v>
      </c>
      <c r="K76">
        <v>0.75</v>
      </c>
      <c r="M76">
        <v>75</v>
      </c>
      <c r="N76">
        <f t="shared" si="3"/>
        <v>2</v>
      </c>
      <c r="O76">
        <f t="shared" si="4"/>
        <v>127</v>
      </c>
      <c r="Q76">
        <v>75</v>
      </c>
      <c r="R76" s="1">
        <f>Tabelle3[[#This Row],[Seite]]-0</f>
        <v>75</v>
      </c>
      <c r="S76">
        <v>2</v>
      </c>
      <c r="T76">
        <v>127</v>
      </c>
      <c r="U76" s="2" cm="1">
        <f t="array" ref="U76">SUMPRODUCT((Tabelle2[Seite]=Q76)*Tabelle2[Score_Gewichtet])</f>
        <v>1.35</v>
      </c>
      <c r="V76" s="2"/>
    </row>
    <row r="77" spans="1:22" x14ac:dyDescent="0.2">
      <c r="A77" t="s">
        <v>0</v>
      </c>
      <c r="B77">
        <v>14</v>
      </c>
      <c r="C77" t="s">
        <v>1</v>
      </c>
      <c r="D77" t="s">
        <v>33</v>
      </c>
      <c r="E77" t="s">
        <v>45</v>
      </c>
      <c r="F77">
        <v>0</v>
      </c>
      <c r="G77">
        <v>1</v>
      </c>
      <c r="H77">
        <v>1</v>
      </c>
      <c r="I77">
        <v>0</v>
      </c>
      <c r="J77">
        <v>2</v>
      </c>
      <c r="K77">
        <v>1.35</v>
      </c>
      <c r="M77">
        <v>76</v>
      </c>
      <c r="N77">
        <f t="shared" si="3"/>
        <v>12</v>
      </c>
      <c r="O77">
        <f t="shared" si="4"/>
        <v>22</v>
      </c>
      <c r="Q77">
        <v>76</v>
      </c>
      <c r="R77" s="1">
        <f>Tabelle3[[#This Row],[Seite]]-0</f>
        <v>76</v>
      </c>
      <c r="S77">
        <v>12</v>
      </c>
      <c r="T77">
        <v>22</v>
      </c>
      <c r="U77" s="2" cm="1">
        <f t="array" ref="U77">SUMPRODUCT((Tabelle2[Seite]=Q77)*Tabelle2[Score_Gewichtet])</f>
        <v>7.0499999999999989</v>
      </c>
      <c r="V77" s="2"/>
    </row>
    <row r="78" spans="1:22" x14ac:dyDescent="0.2">
      <c r="A78" t="s">
        <v>0</v>
      </c>
      <c r="B78">
        <v>14</v>
      </c>
      <c r="C78" t="s">
        <v>1</v>
      </c>
      <c r="D78" t="s">
        <v>2</v>
      </c>
      <c r="E78" t="s">
        <v>48</v>
      </c>
      <c r="F78">
        <v>0</v>
      </c>
      <c r="G78">
        <v>1</v>
      </c>
      <c r="H78">
        <v>0</v>
      </c>
      <c r="I78">
        <v>0</v>
      </c>
      <c r="J78">
        <v>1</v>
      </c>
      <c r="K78">
        <v>0.75</v>
      </c>
      <c r="M78">
        <v>77</v>
      </c>
      <c r="N78">
        <f t="shared" si="3"/>
        <v>16</v>
      </c>
      <c r="O78">
        <f t="shared" si="4"/>
        <v>7</v>
      </c>
      <c r="Q78">
        <v>77</v>
      </c>
      <c r="R78" s="1">
        <f>Tabelle3[[#This Row],[Seite]]-0</f>
        <v>77</v>
      </c>
      <c r="S78">
        <v>16</v>
      </c>
      <c r="T78">
        <v>7</v>
      </c>
      <c r="U78" s="2" cm="1">
        <f t="array" ref="U78">SUMPRODUCT((Tabelle2[Seite]=Q78)*Tabelle2[Score_Gewichtet])</f>
        <v>13.5</v>
      </c>
      <c r="V78" s="2"/>
    </row>
    <row r="79" spans="1:22" x14ac:dyDescent="0.2">
      <c r="A79" t="s">
        <v>0</v>
      </c>
      <c r="B79">
        <v>14</v>
      </c>
      <c r="C79" t="s">
        <v>15</v>
      </c>
      <c r="D79" t="s">
        <v>2</v>
      </c>
      <c r="E79" t="s">
        <v>16</v>
      </c>
      <c r="F79">
        <v>0</v>
      </c>
      <c r="G79">
        <v>0</v>
      </c>
      <c r="H79">
        <v>0</v>
      </c>
      <c r="I79">
        <v>6</v>
      </c>
      <c r="J79">
        <v>6</v>
      </c>
      <c r="K79">
        <v>0.6</v>
      </c>
      <c r="M79">
        <v>78</v>
      </c>
      <c r="N79">
        <f t="shared" si="3"/>
        <v>3</v>
      </c>
      <c r="O79">
        <f t="shared" si="4"/>
        <v>112</v>
      </c>
      <c r="Q79">
        <v>78</v>
      </c>
      <c r="R79" s="1">
        <f>Tabelle3[[#This Row],[Seite]]-0</f>
        <v>78</v>
      </c>
      <c r="S79">
        <v>3</v>
      </c>
      <c r="T79">
        <v>112</v>
      </c>
      <c r="U79" s="2" cm="1">
        <f t="array" ref="U79">SUMPRODUCT((Tabelle2[Seite]=Q79)*Tabelle2[Score_Gewichtet])</f>
        <v>2.85</v>
      </c>
      <c r="V79" s="2"/>
    </row>
    <row r="80" spans="1:22" x14ac:dyDescent="0.2">
      <c r="A80" t="s">
        <v>0</v>
      </c>
      <c r="B80">
        <v>14</v>
      </c>
      <c r="C80" t="s">
        <v>15</v>
      </c>
      <c r="D80" t="s">
        <v>2</v>
      </c>
      <c r="E80" t="s">
        <v>38</v>
      </c>
      <c r="F80">
        <v>0</v>
      </c>
      <c r="G80">
        <v>0</v>
      </c>
      <c r="H80">
        <v>1</v>
      </c>
      <c r="I80">
        <v>0</v>
      </c>
      <c r="J80">
        <v>1</v>
      </c>
      <c r="K80">
        <v>0.5</v>
      </c>
      <c r="M80">
        <v>79</v>
      </c>
      <c r="N80">
        <f t="shared" si="3"/>
        <v>5</v>
      </c>
      <c r="O80">
        <f t="shared" si="4"/>
        <v>89</v>
      </c>
      <c r="Q80">
        <v>79</v>
      </c>
      <c r="R80" s="1">
        <f>Tabelle3[[#This Row],[Seite]]-0</f>
        <v>79</v>
      </c>
      <c r="S80">
        <v>5</v>
      </c>
      <c r="T80">
        <v>89</v>
      </c>
      <c r="U80" s="2" cm="1">
        <f t="array" ref="U80">SUMPRODUCT((Tabelle2[Seite]=Q80)*Tabelle2[Score_Gewichtet])</f>
        <v>4.5</v>
      </c>
      <c r="V80" s="2"/>
    </row>
    <row r="81" spans="1:22" x14ac:dyDescent="0.2">
      <c r="A81" t="s">
        <v>0</v>
      </c>
      <c r="B81">
        <v>14</v>
      </c>
      <c r="C81" t="s">
        <v>15</v>
      </c>
      <c r="D81" t="s">
        <v>2</v>
      </c>
      <c r="E81" t="s">
        <v>48</v>
      </c>
      <c r="F81">
        <v>0</v>
      </c>
      <c r="G81">
        <v>1</v>
      </c>
      <c r="H81">
        <v>0</v>
      </c>
      <c r="I81">
        <v>0</v>
      </c>
      <c r="J81">
        <v>1</v>
      </c>
      <c r="K81">
        <v>0.75</v>
      </c>
      <c r="M81">
        <v>80</v>
      </c>
      <c r="N81">
        <f t="shared" si="3"/>
        <v>4</v>
      </c>
      <c r="O81">
        <f t="shared" si="4"/>
        <v>100</v>
      </c>
      <c r="Q81">
        <v>80</v>
      </c>
      <c r="R81" s="1">
        <f>Tabelle3[[#This Row],[Seite]]-0</f>
        <v>80</v>
      </c>
      <c r="S81">
        <v>4</v>
      </c>
      <c r="T81">
        <v>100</v>
      </c>
      <c r="U81" s="2" cm="1">
        <f t="array" ref="U81">SUMPRODUCT((Tabelle2[Seite]=Q81)*Tabelle2[Score_Gewichtet])</f>
        <v>6.15</v>
      </c>
      <c r="V81" s="2"/>
    </row>
    <row r="82" spans="1:22" x14ac:dyDescent="0.2">
      <c r="A82" t="s">
        <v>0</v>
      </c>
      <c r="B82">
        <v>14</v>
      </c>
      <c r="C82" t="s">
        <v>18</v>
      </c>
      <c r="D82" t="s">
        <v>6</v>
      </c>
      <c r="E82" t="s">
        <v>19</v>
      </c>
      <c r="F82">
        <v>0</v>
      </c>
      <c r="G82">
        <v>0</v>
      </c>
      <c r="H82">
        <v>4</v>
      </c>
      <c r="I82">
        <v>0</v>
      </c>
      <c r="J82">
        <v>4</v>
      </c>
      <c r="K82">
        <v>2</v>
      </c>
      <c r="M82">
        <v>81</v>
      </c>
      <c r="N82">
        <f t="shared" si="3"/>
        <v>6</v>
      </c>
      <c r="O82">
        <f t="shared" si="4"/>
        <v>72</v>
      </c>
      <c r="Q82">
        <v>81</v>
      </c>
      <c r="R82" s="1">
        <f>Tabelle3[[#This Row],[Seite]]-0</f>
        <v>81</v>
      </c>
      <c r="S82">
        <v>6</v>
      </c>
      <c r="T82">
        <v>72</v>
      </c>
      <c r="U82" s="2" cm="1">
        <f t="array" ref="U82">SUMPRODUCT((Tabelle2[Seite]=Q82)*Tabelle2[Score_Gewichtet])</f>
        <v>4.3000000000000007</v>
      </c>
      <c r="V82" s="2"/>
    </row>
    <row r="83" spans="1:22" x14ac:dyDescent="0.2">
      <c r="A83" t="s">
        <v>0</v>
      </c>
      <c r="B83">
        <v>14</v>
      </c>
      <c r="C83" t="s">
        <v>23</v>
      </c>
      <c r="D83" t="s">
        <v>2</v>
      </c>
      <c r="E83" t="s">
        <v>48</v>
      </c>
      <c r="F83">
        <v>0</v>
      </c>
      <c r="G83">
        <v>1</v>
      </c>
      <c r="H83">
        <v>0</v>
      </c>
      <c r="I83">
        <v>0</v>
      </c>
      <c r="J83">
        <v>1</v>
      </c>
      <c r="K83">
        <v>0.75</v>
      </c>
      <c r="M83">
        <v>82</v>
      </c>
      <c r="N83">
        <f t="shared" si="3"/>
        <v>2</v>
      </c>
      <c r="O83">
        <f t="shared" si="4"/>
        <v>127</v>
      </c>
      <c r="Q83">
        <v>82</v>
      </c>
      <c r="R83" s="1">
        <f>Tabelle3[[#This Row],[Seite]]-0</f>
        <v>82</v>
      </c>
      <c r="S83">
        <v>2</v>
      </c>
      <c r="T83">
        <v>127</v>
      </c>
      <c r="U83" s="2" cm="1">
        <f t="array" ref="U83">SUMPRODUCT((Tabelle2[Seite]=Q83)*Tabelle2[Score_Gewichtet])</f>
        <v>0.85</v>
      </c>
      <c r="V83" s="2"/>
    </row>
    <row r="84" spans="1:22" x14ac:dyDescent="0.2">
      <c r="A84" t="s">
        <v>0</v>
      </c>
      <c r="B84">
        <v>14</v>
      </c>
      <c r="C84" t="s">
        <v>23</v>
      </c>
      <c r="D84" t="s">
        <v>2</v>
      </c>
      <c r="E84" t="s">
        <v>35</v>
      </c>
      <c r="F84">
        <v>0</v>
      </c>
      <c r="G84">
        <v>0</v>
      </c>
      <c r="H84">
        <v>0</v>
      </c>
      <c r="I84">
        <v>2</v>
      </c>
      <c r="J84">
        <v>2</v>
      </c>
      <c r="K84">
        <v>0.2</v>
      </c>
      <c r="M84">
        <v>83</v>
      </c>
      <c r="N84">
        <f t="shared" si="3"/>
        <v>6</v>
      </c>
      <c r="O84">
        <f t="shared" si="4"/>
        <v>72</v>
      </c>
      <c r="Q84">
        <v>83</v>
      </c>
      <c r="R84" s="1">
        <f>Tabelle3[[#This Row],[Seite]]-0</f>
        <v>83</v>
      </c>
      <c r="S84">
        <v>6</v>
      </c>
      <c r="T84">
        <v>72</v>
      </c>
      <c r="U84" s="2" cm="1">
        <f t="array" ref="U84">SUMPRODUCT((Tabelle2[Seite]=Q84)*Tabelle2[Score_Gewichtet])</f>
        <v>3.7</v>
      </c>
      <c r="V84" s="2"/>
    </row>
    <row r="85" spans="1:22" x14ac:dyDescent="0.2">
      <c r="A85" t="s">
        <v>0</v>
      </c>
      <c r="B85">
        <v>14</v>
      </c>
      <c r="C85" t="s">
        <v>27</v>
      </c>
      <c r="D85" t="s">
        <v>2</v>
      </c>
      <c r="E85" t="s">
        <v>49</v>
      </c>
      <c r="F85">
        <v>6</v>
      </c>
      <c r="G85">
        <v>1</v>
      </c>
      <c r="H85">
        <v>1</v>
      </c>
      <c r="I85">
        <v>0</v>
      </c>
      <c r="J85">
        <v>8</v>
      </c>
      <c r="K85">
        <v>7.25</v>
      </c>
      <c r="M85">
        <v>84</v>
      </c>
      <c r="N85">
        <f t="shared" si="3"/>
        <v>9</v>
      </c>
      <c r="O85">
        <f t="shared" si="4"/>
        <v>38</v>
      </c>
      <c r="Q85">
        <v>84</v>
      </c>
      <c r="R85" s="1">
        <f>Tabelle3[[#This Row],[Seite]]-0</f>
        <v>84</v>
      </c>
      <c r="S85">
        <v>9</v>
      </c>
      <c r="T85">
        <v>38</v>
      </c>
      <c r="U85" s="2" cm="1">
        <f t="array" ref="U85">SUMPRODUCT((Tabelle2[Seite]=Q85)*Tabelle2[Score_Gewichtet])</f>
        <v>10.85</v>
      </c>
      <c r="V85" s="2"/>
    </row>
    <row r="86" spans="1:22" x14ac:dyDescent="0.2">
      <c r="A86" t="s">
        <v>0</v>
      </c>
      <c r="B86">
        <v>14</v>
      </c>
      <c r="C86" t="s">
        <v>27</v>
      </c>
      <c r="D86" t="s">
        <v>6</v>
      </c>
      <c r="E86" t="s">
        <v>50</v>
      </c>
      <c r="F86">
        <v>0</v>
      </c>
      <c r="G86">
        <v>0</v>
      </c>
      <c r="H86">
        <v>8</v>
      </c>
      <c r="I86">
        <v>0</v>
      </c>
      <c r="J86">
        <v>8</v>
      </c>
      <c r="K86">
        <v>4</v>
      </c>
      <c r="M86">
        <v>85</v>
      </c>
      <c r="N86">
        <f t="shared" si="3"/>
        <v>11</v>
      </c>
      <c r="O86">
        <f t="shared" si="4"/>
        <v>28</v>
      </c>
      <c r="Q86">
        <v>85</v>
      </c>
      <c r="R86" s="1">
        <f>Tabelle3[[#This Row],[Seite]]-0</f>
        <v>85</v>
      </c>
      <c r="S86">
        <v>11</v>
      </c>
      <c r="T86">
        <v>28</v>
      </c>
      <c r="U86" s="2" cm="1">
        <f t="array" ref="U86">SUMPRODUCT((Tabelle2[Seite]=Q86)*Tabelle2[Score_Gewichtet])</f>
        <v>11.45</v>
      </c>
      <c r="V86" s="2"/>
    </row>
    <row r="87" spans="1:22" x14ac:dyDescent="0.2">
      <c r="A87" t="s">
        <v>0</v>
      </c>
      <c r="B87">
        <v>14</v>
      </c>
      <c r="C87" t="s">
        <v>27</v>
      </c>
      <c r="D87" t="s">
        <v>33</v>
      </c>
      <c r="E87" t="s">
        <v>50</v>
      </c>
      <c r="F87">
        <v>0</v>
      </c>
      <c r="G87">
        <v>0</v>
      </c>
      <c r="H87">
        <v>8</v>
      </c>
      <c r="I87">
        <v>0</v>
      </c>
      <c r="J87">
        <v>8</v>
      </c>
      <c r="K87">
        <v>4</v>
      </c>
      <c r="M87">
        <v>86</v>
      </c>
      <c r="N87">
        <f t="shared" si="3"/>
        <v>1</v>
      </c>
      <c r="O87">
        <f t="shared" si="4"/>
        <v>135</v>
      </c>
      <c r="Q87">
        <v>86</v>
      </c>
      <c r="R87" s="1">
        <f>Tabelle3[[#This Row],[Seite]]-0</f>
        <v>86</v>
      </c>
      <c r="S87">
        <v>1</v>
      </c>
      <c r="T87">
        <v>135</v>
      </c>
      <c r="U87" s="2" cm="1">
        <f t="array" ref="U87">SUMPRODUCT((Tabelle2[Seite]=Q87)*Tabelle2[Score_Gewichtet])</f>
        <v>0.1</v>
      </c>
      <c r="V87" s="2"/>
    </row>
    <row r="88" spans="1:22" x14ac:dyDescent="0.2">
      <c r="A88" t="s">
        <v>0</v>
      </c>
      <c r="B88">
        <v>15</v>
      </c>
      <c r="C88" t="s">
        <v>4</v>
      </c>
      <c r="D88" t="s">
        <v>6</v>
      </c>
      <c r="E88" t="s">
        <v>45</v>
      </c>
      <c r="F88">
        <v>0</v>
      </c>
      <c r="G88">
        <v>1</v>
      </c>
      <c r="H88">
        <v>1</v>
      </c>
      <c r="I88">
        <v>0</v>
      </c>
      <c r="J88">
        <v>2</v>
      </c>
      <c r="K88">
        <v>1.35</v>
      </c>
      <c r="M88">
        <v>87</v>
      </c>
      <c r="N88">
        <f t="shared" si="3"/>
        <v>4</v>
      </c>
      <c r="O88">
        <f t="shared" si="4"/>
        <v>100</v>
      </c>
      <c r="Q88">
        <v>87</v>
      </c>
      <c r="R88" s="1">
        <f>Tabelle3[[#This Row],[Seite]]-0</f>
        <v>87</v>
      </c>
      <c r="S88">
        <v>4</v>
      </c>
      <c r="T88">
        <v>100</v>
      </c>
      <c r="U88" s="2" cm="1">
        <f t="array" ref="U88">SUMPRODUCT((Tabelle2[Seite]=Q88)*Tabelle2[Score_Gewichtet])</f>
        <v>2.75</v>
      </c>
      <c r="V88" s="2"/>
    </row>
    <row r="89" spans="1:22" x14ac:dyDescent="0.2">
      <c r="A89" t="s">
        <v>0</v>
      </c>
      <c r="B89">
        <v>15</v>
      </c>
      <c r="C89" t="s">
        <v>4</v>
      </c>
      <c r="D89" t="s">
        <v>2</v>
      </c>
      <c r="E89" t="s">
        <v>7</v>
      </c>
      <c r="F89">
        <v>0</v>
      </c>
      <c r="G89">
        <v>1</v>
      </c>
      <c r="H89">
        <v>0</v>
      </c>
      <c r="I89">
        <v>0</v>
      </c>
      <c r="J89">
        <v>1</v>
      </c>
      <c r="K89">
        <v>0.75</v>
      </c>
      <c r="M89">
        <v>88</v>
      </c>
      <c r="N89">
        <f t="shared" si="3"/>
        <v>9</v>
      </c>
      <c r="O89">
        <f t="shared" si="4"/>
        <v>38</v>
      </c>
      <c r="Q89">
        <v>88</v>
      </c>
      <c r="R89" s="1">
        <f>Tabelle3[[#This Row],[Seite]]-0</f>
        <v>88</v>
      </c>
      <c r="S89">
        <v>9</v>
      </c>
      <c r="T89">
        <v>38</v>
      </c>
      <c r="U89" s="2" cm="1">
        <f t="array" ref="U89">SUMPRODUCT((Tabelle2[Seite]=Q89)*Tabelle2[Score_Gewichtet])</f>
        <v>8.3999999999999986</v>
      </c>
      <c r="V89" s="2"/>
    </row>
    <row r="90" spans="1:22" x14ac:dyDescent="0.2">
      <c r="A90" t="s">
        <v>0</v>
      </c>
      <c r="B90">
        <v>15</v>
      </c>
      <c r="C90" t="s">
        <v>4</v>
      </c>
      <c r="D90" t="s">
        <v>33</v>
      </c>
      <c r="E90" t="s">
        <v>51</v>
      </c>
      <c r="F90">
        <v>0</v>
      </c>
      <c r="G90">
        <v>0</v>
      </c>
      <c r="H90">
        <v>2</v>
      </c>
      <c r="I90">
        <v>0</v>
      </c>
      <c r="J90">
        <v>2</v>
      </c>
      <c r="K90">
        <v>1</v>
      </c>
      <c r="M90">
        <v>89</v>
      </c>
      <c r="N90">
        <f t="shared" si="3"/>
        <v>17</v>
      </c>
      <c r="O90">
        <f t="shared" si="4"/>
        <v>5</v>
      </c>
      <c r="Q90">
        <v>89</v>
      </c>
      <c r="R90" s="1">
        <f>Tabelle3[[#This Row],[Seite]]-0</f>
        <v>89</v>
      </c>
      <c r="S90">
        <v>17</v>
      </c>
      <c r="T90">
        <v>5</v>
      </c>
      <c r="U90" s="2" cm="1">
        <f t="array" ref="U90">SUMPRODUCT((Tabelle2[Seite]=Q90)*Tabelle2[Score_Gewichtet])</f>
        <v>9.7499999999999982</v>
      </c>
      <c r="V90" s="2"/>
    </row>
    <row r="91" spans="1:22" x14ac:dyDescent="0.2">
      <c r="A91" t="s">
        <v>0</v>
      </c>
      <c r="B91">
        <v>15</v>
      </c>
      <c r="C91" t="s">
        <v>4</v>
      </c>
      <c r="D91" t="s">
        <v>6</v>
      </c>
      <c r="E91" t="s">
        <v>10</v>
      </c>
      <c r="F91">
        <v>0</v>
      </c>
      <c r="G91">
        <v>0</v>
      </c>
      <c r="H91">
        <v>1</v>
      </c>
      <c r="I91">
        <v>0</v>
      </c>
      <c r="J91">
        <v>1</v>
      </c>
      <c r="K91">
        <v>0.5</v>
      </c>
      <c r="M91">
        <v>90</v>
      </c>
      <c r="N91">
        <f t="shared" si="3"/>
        <v>12</v>
      </c>
      <c r="O91">
        <f t="shared" si="4"/>
        <v>22</v>
      </c>
      <c r="Q91">
        <v>90</v>
      </c>
      <c r="R91" s="1">
        <f>Tabelle3[[#This Row],[Seite]]-0</f>
        <v>90</v>
      </c>
      <c r="S91">
        <v>12</v>
      </c>
      <c r="T91">
        <v>22</v>
      </c>
      <c r="U91" s="2" cm="1">
        <f t="array" ref="U91">SUMPRODUCT((Tabelle2[Seite]=Q91)*Tabelle2[Score_Gewichtet])</f>
        <v>6.65</v>
      </c>
      <c r="V91" s="2"/>
    </row>
    <row r="92" spans="1:22" x14ac:dyDescent="0.2">
      <c r="A92" t="s">
        <v>0</v>
      </c>
      <c r="B92">
        <v>15</v>
      </c>
      <c r="C92" t="s">
        <v>1</v>
      </c>
      <c r="D92" t="s">
        <v>33</v>
      </c>
      <c r="E92" t="s">
        <v>45</v>
      </c>
      <c r="F92">
        <v>0</v>
      </c>
      <c r="G92">
        <v>1</v>
      </c>
      <c r="H92">
        <v>1</v>
      </c>
      <c r="I92">
        <v>0</v>
      </c>
      <c r="J92">
        <v>2</v>
      </c>
      <c r="K92">
        <v>1.35</v>
      </c>
      <c r="M92">
        <v>91</v>
      </c>
      <c r="N92">
        <f t="shared" si="3"/>
        <v>9</v>
      </c>
      <c r="O92">
        <f t="shared" si="4"/>
        <v>38</v>
      </c>
      <c r="Q92">
        <v>91</v>
      </c>
      <c r="R92" s="1">
        <f>Tabelle3[[#This Row],[Seite]]-0</f>
        <v>91</v>
      </c>
      <c r="S92">
        <v>9</v>
      </c>
      <c r="T92">
        <v>38</v>
      </c>
      <c r="U92" s="2" cm="1">
        <f t="array" ref="U92">SUMPRODUCT((Tabelle2[Seite]=Q92)*Tabelle2[Score_Gewichtet])</f>
        <v>5.8</v>
      </c>
      <c r="V92" s="2"/>
    </row>
    <row r="93" spans="1:22" x14ac:dyDescent="0.2">
      <c r="A93" t="s">
        <v>0</v>
      </c>
      <c r="B93">
        <v>15</v>
      </c>
      <c r="C93" t="s">
        <v>15</v>
      </c>
      <c r="D93" t="s">
        <v>2</v>
      </c>
      <c r="E93" t="s">
        <v>16</v>
      </c>
      <c r="F93">
        <v>0</v>
      </c>
      <c r="G93">
        <v>0</v>
      </c>
      <c r="H93">
        <v>0</v>
      </c>
      <c r="I93">
        <v>1</v>
      </c>
      <c r="J93">
        <v>1</v>
      </c>
      <c r="K93">
        <v>0.1</v>
      </c>
      <c r="M93">
        <v>92</v>
      </c>
      <c r="N93">
        <f t="shared" si="3"/>
        <v>9</v>
      </c>
      <c r="O93">
        <f t="shared" si="4"/>
        <v>38</v>
      </c>
      <c r="Q93">
        <v>92</v>
      </c>
      <c r="R93" s="1">
        <f>Tabelle3[[#This Row],[Seite]]-0</f>
        <v>92</v>
      </c>
      <c r="S93">
        <v>9</v>
      </c>
      <c r="T93">
        <v>38</v>
      </c>
      <c r="U93" s="2" cm="1">
        <f t="array" ref="U93">SUMPRODUCT((Tabelle2[Seite]=Q93)*Tabelle2[Score_Gewichtet])</f>
        <v>8.75</v>
      </c>
      <c r="V93" s="2"/>
    </row>
    <row r="94" spans="1:22" x14ac:dyDescent="0.2">
      <c r="A94" t="s">
        <v>0</v>
      </c>
      <c r="B94">
        <v>15</v>
      </c>
      <c r="C94" t="s">
        <v>18</v>
      </c>
      <c r="D94" t="s">
        <v>6</v>
      </c>
      <c r="E94" t="s">
        <v>19</v>
      </c>
      <c r="F94">
        <v>0</v>
      </c>
      <c r="G94">
        <v>0</v>
      </c>
      <c r="H94">
        <v>1</v>
      </c>
      <c r="I94">
        <v>0</v>
      </c>
      <c r="J94">
        <v>1</v>
      </c>
      <c r="K94">
        <v>0.5</v>
      </c>
      <c r="M94">
        <v>93</v>
      </c>
      <c r="N94">
        <f t="shared" si="3"/>
        <v>4</v>
      </c>
      <c r="O94">
        <f t="shared" si="4"/>
        <v>100</v>
      </c>
      <c r="Q94">
        <v>93</v>
      </c>
      <c r="R94" s="1">
        <f>Tabelle3[[#This Row],[Seite]]-0</f>
        <v>93</v>
      </c>
      <c r="S94">
        <v>4</v>
      </c>
      <c r="T94">
        <v>100</v>
      </c>
      <c r="U94" s="2" cm="1">
        <f t="array" ref="U94">SUMPRODUCT((Tabelle2[Seite]=Q94)*Tabelle2[Score_Gewichtet])</f>
        <v>1.2999999999999998</v>
      </c>
      <c r="V94" s="2"/>
    </row>
    <row r="95" spans="1:22" x14ac:dyDescent="0.2">
      <c r="A95" t="s">
        <v>0</v>
      </c>
      <c r="B95">
        <v>15</v>
      </c>
      <c r="C95" t="s">
        <v>18</v>
      </c>
      <c r="D95" t="s">
        <v>2</v>
      </c>
      <c r="E95" t="s">
        <v>21</v>
      </c>
      <c r="F95">
        <v>0</v>
      </c>
      <c r="G95">
        <v>0</v>
      </c>
      <c r="H95">
        <v>0</v>
      </c>
      <c r="I95">
        <v>1</v>
      </c>
      <c r="J95">
        <v>1</v>
      </c>
      <c r="K95">
        <v>0.1</v>
      </c>
      <c r="M95">
        <v>94</v>
      </c>
      <c r="N95">
        <f t="shared" si="3"/>
        <v>5</v>
      </c>
      <c r="O95">
        <f t="shared" si="4"/>
        <v>89</v>
      </c>
      <c r="Q95">
        <v>94</v>
      </c>
      <c r="R95" s="1">
        <f>Tabelle3[[#This Row],[Seite]]-0</f>
        <v>94</v>
      </c>
      <c r="S95">
        <v>5</v>
      </c>
      <c r="T95">
        <v>89</v>
      </c>
      <c r="U95" s="2" cm="1">
        <f t="array" ref="U95">SUMPRODUCT((Tabelle2[Seite]=Q95)*Tabelle2[Score_Gewichtet])</f>
        <v>11.5</v>
      </c>
      <c r="V95" s="2"/>
    </row>
    <row r="96" spans="1:22" x14ac:dyDescent="0.2">
      <c r="A96" t="s">
        <v>0</v>
      </c>
      <c r="B96">
        <v>15</v>
      </c>
      <c r="C96" t="s">
        <v>23</v>
      </c>
      <c r="D96" t="s">
        <v>2</v>
      </c>
      <c r="E96" t="s">
        <v>10</v>
      </c>
      <c r="F96">
        <v>0</v>
      </c>
      <c r="G96">
        <v>0</v>
      </c>
      <c r="H96">
        <v>1</v>
      </c>
      <c r="I96">
        <v>0</v>
      </c>
      <c r="J96">
        <v>1</v>
      </c>
      <c r="K96">
        <v>0.5</v>
      </c>
      <c r="M96">
        <v>95</v>
      </c>
      <c r="N96">
        <f t="shared" si="3"/>
        <v>6</v>
      </c>
      <c r="O96">
        <f t="shared" si="4"/>
        <v>72</v>
      </c>
      <c r="Q96">
        <v>95</v>
      </c>
      <c r="R96" s="1">
        <f>Tabelle3[[#This Row],[Seite]]-0</f>
        <v>95</v>
      </c>
      <c r="S96">
        <v>6</v>
      </c>
      <c r="T96">
        <v>72</v>
      </c>
      <c r="U96" s="2" cm="1">
        <f t="array" ref="U96">SUMPRODUCT((Tabelle2[Seite]=Q96)*Tabelle2[Score_Gewichtet])</f>
        <v>4.6500000000000004</v>
      </c>
      <c r="V96" s="2"/>
    </row>
    <row r="97" spans="1:22" x14ac:dyDescent="0.2">
      <c r="A97" t="s">
        <v>0</v>
      </c>
      <c r="B97">
        <v>15</v>
      </c>
      <c r="C97" t="s">
        <v>23</v>
      </c>
      <c r="D97" t="s">
        <v>6</v>
      </c>
      <c r="E97" t="s">
        <v>25</v>
      </c>
      <c r="F97">
        <v>0</v>
      </c>
      <c r="G97">
        <v>0</v>
      </c>
      <c r="H97">
        <v>1</v>
      </c>
      <c r="I97">
        <v>0</v>
      </c>
      <c r="J97">
        <v>1</v>
      </c>
      <c r="K97">
        <v>0.5</v>
      </c>
      <c r="M97">
        <v>96</v>
      </c>
      <c r="N97">
        <f t="shared" si="3"/>
        <v>12</v>
      </c>
      <c r="O97">
        <f t="shared" si="4"/>
        <v>22</v>
      </c>
      <c r="Q97">
        <v>96</v>
      </c>
      <c r="R97" s="1">
        <f>Tabelle3[[#This Row],[Seite]]-0</f>
        <v>96</v>
      </c>
      <c r="S97">
        <v>12</v>
      </c>
      <c r="T97">
        <v>22</v>
      </c>
      <c r="U97" s="2" cm="1">
        <f t="array" ref="U97">SUMPRODUCT((Tabelle2[Seite]=Q97)*Tabelle2[Score_Gewichtet])</f>
        <v>15.500000000000002</v>
      </c>
      <c r="V97" s="2"/>
    </row>
    <row r="98" spans="1:22" x14ac:dyDescent="0.2">
      <c r="A98" t="s">
        <v>0</v>
      </c>
      <c r="B98">
        <v>16</v>
      </c>
      <c r="C98" t="s">
        <v>4</v>
      </c>
      <c r="D98" t="s">
        <v>6</v>
      </c>
      <c r="E98" t="s">
        <v>45</v>
      </c>
      <c r="F98">
        <v>0</v>
      </c>
      <c r="G98">
        <v>1</v>
      </c>
      <c r="H98">
        <v>0</v>
      </c>
      <c r="I98">
        <v>0</v>
      </c>
      <c r="J98">
        <v>1</v>
      </c>
      <c r="K98">
        <v>0.75</v>
      </c>
      <c r="M98">
        <v>97</v>
      </c>
      <c r="N98">
        <f t="shared" ref="N98:N129" si="5">COUNTIF(B$2:B$1069, M98)</f>
        <v>3</v>
      </c>
      <c r="O98">
        <f t="shared" si="4"/>
        <v>112</v>
      </c>
      <c r="Q98">
        <v>97</v>
      </c>
      <c r="R98" s="1">
        <f>Tabelle3[[#This Row],[Seite]]-0</f>
        <v>97</v>
      </c>
      <c r="S98">
        <v>3</v>
      </c>
      <c r="T98">
        <v>112</v>
      </c>
      <c r="U98" s="2" cm="1">
        <f t="array" ref="U98">SUMPRODUCT((Tabelle2[Seite]=Q98)*Tabelle2[Score_Gewichtet])</f>
        <v>2</v>
      </c>
      <c r="V98" s="2"/>
    </row>
    <row r="99" spans="1:22" x14ac:dyDescent="0.2">
      <c r="A99" t="s">
        <v>0</v>
      </c>
      <c r="B99">
        <v>16</v>
      </c>
      <c r="C99" t="s">
        <v>11</v>
      </c>
      <c r="D99" t="s">
        <v>2</v>
      </c>
      <c r="E99" t="s">
        <v>52</v>
      </c>
      <c r="F99">
        <v>0</v>
      </c>
      <c r="G99">
        <v>0</v>
      </c>
      <c r="H99">
        <v>1</v>
      </c>
      <c r="I99">
        <v>0</v>
      </c>
      <c r="J99">
        <v>1</v>
      </c>
      <c r="K99">
        <v>0.5</v>
      </c>
      <c r="M99">
        <v>98</v>
      </c>
      <c r="N99">
        <f t="shared" si="5"/>
        <v>9</v>
      </c>
      <c r="O99">
        <f t="shared" si="4"/>
        <v>38</v>
      </c>
      <c r="Q99">
        <v>98</v>
      </c>
      <c r="R99" s="1">
        <f>Tabelle3[[#This Row],[Seite]]-0</f>
        <v>98</v>
      </c>
      <c r="S99">
        <v>9</v>
      </c>
      <c r="T99">
        <v>38</v>
      </c>
      <c r="U99" s="2" cm="1">
        <f t="array" ref="U99">SUMPRODUCT((Tabelle2[Seite]=Q99)*Tabelle2[Score_Gewichtet])</f>
        <v>4.6500000000000004</v>
      </c>
      <c r="V99" s="2"/>
    </row>
    <row r="100" spans="1:22" x14ac:dyDescent="0.2">
      <c r="A100" t="s">
        <v>0</v>
      </c>
      <c r="B100">
        <v>16</v>
      </c>
      <c r="C100" t="s">
        <v>1</v>
      </c>
      <c r="D100" t="s">
        <v>33</v>
      </c>
      <c r="E100" t="s">
        <v>45</v>
      </c>
      <c r="F100">
        <v>0</v>
      </c>
      <c r="G100">
        <v>1</v>
      </c>
      <c r="H100">
        <v>0</v>
      </c>
      <c r="I100">
        <v>0</v>
      </c>
      <c r="J100">
        <v>1</v>
      </c>
      <c r="K100">
        <v>0.75</v>
      </c>
      <c r="M100">
        <v>99</v>
      </c>
      <c r="N100">
        <f t="shared" si="5"/>
        <v>3</v>
      </c>
      <c r="O100">
        <f t="shared" si="4"/>
        <v>112</v>
      </c>
      <c r="Q100">
        <v>99</v>
      </c>
      <c r="R100" s="1">
        <f>Tabelle3[[#This Row],[Seite]]-0</f>
        <v>99</v>
      </c>
      <c r="S100">
        <v>3</v>
      </c>
      <c r="T100">
        <v>112</v>
      </c>
      <c r="U100" s="2" cm="1">
        <f t="array" ref="U100">SUMPRODUCT((Tabelle2[Seite]=Q100)*Tabelle2[Score_Gewichtet])</f>
        <v>1.1000000000000001</v>
      </c>
      <c r="V100" s="2"/>
    </row>
    <row r="101" spans="1:22" x14ac:dyDescent="0.2">
      <c r="A101" t="s">
        <v>0</v>
      </c>
      <c r="B101">
        <v>16</v>
      </c>
      <c r="C101" t="s">
        <v>23</v>
      </c>
      <c r="D101" t="s">
        <v>33</v>
      </c>
      <c r="E101" t="s">
        <v>40</v>
      </c>
      <c r="F101">
        <v>0</v>
      </c>
      <c r="G101">
        <v>0</v>
      </c>
      <c r="H101">
        <v>1</v>
      </c>
      <c r="I101">
        <v>0</v>
      </c>
      <c r="J101">
        <v>1</v>
      </c>
      <c r="K101">
        <v>0.5</v>
      </c>
      <c r="M101">
        <v>100</v>
      </c>
      <c r="N101">
        <f t="shared" si="5"/>
        <v>4</v>
      </c>
      <c r="O101">
        <f t="shared" si="4"/>
        <v>100</v>
      </c>
      <c r="Q101">
        <v>100</v>
      </c>
      <c r="R101" s="1">
        <f>Tabelle3[[#This Row],[Seite]]-0</f>
        <v>100</v>
      </c>
      <c r="S101">
        <v>4</v>
      </c>
      <c r="T101">
        <v>100</v>
      </c>
      <c r="U101" s="2" cm="1">
        <f t="array" ref="U101">SUMPRODUCT((Tabelle2[Seite]=Q101)*Tabelle2[Score_Gewichtet])</f>
        <v>2.8</v>
      </c>
      <c r="V101" s="2"/>
    </row>
    <row r="102" spans="1:22" x14ac:dyDescent="0.2">
      <c r="A102" t="s">
        <v>0</v>
      </c>
      <c r="B102">
        <v>17</v>
      </c>
      <c r="C102" t="s">
        <v>4</v>
      </c>
      <c r="D102" t="s">
        <v>33</v>
      </c>
      <c r="E102" t="s">
        <v>36</v>
      </c>
      <c r="F102">
        <v>0</v>
      </c>
      <c r="G102">
        <v>1</v>
      </c>
      <c r="H102">
        <v>0</v>
      </c>
      <c r="I102">
        <v>0</v>
      </c>
      <c r="J102">
        <v>1</v>
      </c>
      <c r="K102">
        <v>0.75</v>
      </c>
      <c r="M102">
        <v>101</v>
      </c>
      <c r="N102">
        <f t="shared" si="5"/>
        <v>7</v>
      </c>
      <c r="O102">
        <f t="shared" si="4"/>
        <v>65</v>
      </c>
      <c r="Q102">
        <v>101</v>
      </c>
      <c r="R102" s="1">
        <f>Tabelle3[[#This Row],[Seite]]-0</f>
        <v>101</v>
      </c>
      <c r="S102">
        <v>7</v>
      </c>
      <c r="T102">
        <v>65</v>
      </c>
      <c r="U102" s="2" cm="1">
        <f t="array" ref="U102">SUMPRODUCT((Tabelle2[Seite]=Q102)*Tabelle2[Score_Gewichtet])</f>
        <v>5.35</v>
      </c>
      <c r="V102" s="2"/>
    </row>
    <row r="103" spans="1:22" x14ac:dyDescent="0.2">
      <c r="A103" t="s">
        <v>0</v>
      </c>
      <c r="B103">
        <v>17</v>
      </c>
      <c r="C103" t="s">
        <v>4</v>
      </c>
      <c r="D103" t="s">
        <v>6</v>
      </c>
      <c r="E103" t="s">
        <v>45</v>
      </c>
      <c r="F103">
        <v>0</v>
      </c>
      <c r="G103">
        <v>0</v>
      </c>
      <c r="H103">
        <v>1</v>
      </c>
      <c r="I103">
        <v>0</v>
      </c>
      <c r="J103">
        <v>1</v>
      </c>
      <c r="K103">
        <v>0.5</v>
      </c>
      <c r="M103">
        <v>102</v>
      </c>
      <c r="N103">
        <f t="shared" si="5"/>
        <v>3</v>
      </c>
      <c r="O103">
        <f t="shared" si="4"/>
        <v>112</v>
      </c>
      <c r="Q103">
        <v>102</v>
      </c>
      <c r="R103" s="1">
        <f>Tabelle3[[#This Row],[Seite]]-0</f>
        <v>102</v>
      </c>
      <c r="S103">
        <v>3</v>
      </c>
      <c r="T103">
        <v>112</v>
      </c>
      <c r="U103" s="2" cm="1">
        <f t="array" ref="U103">SUMPRODUCT((Tabelle2[Seite]=Q103)*Tabelle2[Score_Gewichtet])</f>
        <v>3.1</v>
      </c>
      <c r="V103" s="2"/>
    </row>
    <row r="104" spans="1:22" x14ac:dyDescent="0.2">
      <c r="A104" t="s">
        <v>0</v>
      </c>
      <c r="B104">
        <v>17</v>
      </c>
      <c r="C104" t="s">
        <v>4</v>
      </c>
      <c r="D104" t="s">
        <v>2</v>
      </c>
      <c r="E104" t="s">
        <v>53</v>
      </c>
      <c r="F104">
        <v>0</v>
      </c>
      <c r="G104">
        <v>0</v>
      </c>
      <c r="H104">
        <v>0</v>
      </c>
      <c r="I104">
        <v>1</v>
      </c>
      <c r="J104">
        <v>1</v>
      </c>
      <c r="K104">
        <v>0.1</v>
      </c>
      <c r="M104">
        <v>103</v>
      </c>
      <c r="N104">
        <f t="shared" si="5"/>
        <v>8</v>
      </c>
      <c r="O104">
        <f t="shared" si="4"/>
        <v>56</v>
      </c>
      <c r="Q104">
        <v>103</v>
      </c>
      <c r="R104" s="1">
        <f>Tabelle3[[#This Row],[Seite]]-0</f>
        <v>103</v>
      </c>
      <c r="S104">
        <v>8</v>
      </c>
      <c r="T104">
        <v>56</v>
      </c>
      <c r="U104" s="2" cm="1">
        <f t="array" ref="U104">SUMPRODUCT((Tabelle2[Seite]=Q104)*Tabelle2[Score_Gewichtet])</f>
        <v>2.5</v>
      </c>
      <c r="V104" s="2"/>
    </row>
    <row r="105" spans="1:22" x14ac:dyDescent="0.2">
      <c r="A105" t="s">
        <v>0</v>
      </c>
      <c r="B105">
        <v>17</v>
      </c>
      <c r="C105" t="s">
        <v>1</v>
      </c>
      <c r="D105" t="s">
        <v>33</v>
      </c>
      <c r="E105" t="s">
        <v>45</v>
      </c>
      <c r="F105">
        <v>0</v>
      </c>
      <c r="G105">
        <v>0</v>
      </c>
      <c r="H105">
        <v>1</v>
      </c>
      <c r="I105">
        <v>0</v>
      </c>
      <c r="J105">
        <v>1</v>
      </c>
      <c r="K105">
        <v>0.5</v>
      </c>
      <c r="M105">
        <v>104</v>
      </c>
      <c r="N105">
        <f t="shared" si="5"/>
        <v>9</v>
      </c>
      <c r="O105">
        <f t="shared" si="4"/>
        <v>38</v>
      </c>
      <c r="Q105">
        <v>104</v>
      </c>
      <c r="R105" s="1">
        <f>Tabelle3[[#This Row],[Seite]]-0</f>
        <v>104</v>
      </c>
      <c r="S105">
        <v>9</v>
      </c>
      <c r="T105">
        <v>38</v>
      </c>
      <c r="U105" s="2" cm="1">
        <f t="array" ref="U105">SUMPRODUCT((Tabelle2[Seite]=Q105)*Tabelle2[Score_Gewichtet])</f>
        <v>5.6000000000000005</v>
      </c>
      <c r="V105" s="2"/>
    </row>
    <row r="106" spans="1:22" x14ac:dyDescent="0.2">
      <c r="A106" t="s">
        <v>0</v>
      </c>
      <c r="B106">
        <v>17</v>
      </c>
      <c r="C106" t="s">
        <v>15</v>
      </c>
      <c r="D106" t="s">
        <v>2</v>
      </c>
      <c r="E106" t="s">
        <v>16</v>
      </c>
      <c r="F106">
        <v>0</v>
      </c>
      <c r="G106">
        <v>1</v>
      </c>
      <c r="H106">
        <v>0</v>
      </c>
      <c r="I106">
        <v>2</v>
      </c>
      <c r="J106">
        <v>3</v>
      </c>
      <c r="K106">
        <v>0.95</v>
      </c>
      <c r="M106">
        <v>105</v>
      </c>
      <c r="N106">
        <f t="shared" si="5"/>
        <v>8</v>
      </c>
      <c r="O106">
        <f t="shared" si="4"/>
        <v>56</v>
      </c>
      <c r="Q106">
        <v>105</v>
      </c>
      <c r="R106" s="1">
        <f>Tabelle3[[#This Row],[Seite]]-0</f>
        <v>105</v>
      </c>
      <c r="S106">
        <v>8</v>
      </c>
      <c r="T106">
        <v>56</v>
      </c>
      <c r="U106" s="2" cm="1">
        <f t="array" ref="U106">SUMPRODUCT((Tabelle2[Seite]=Q106)*Tabelle2[Score_Gewichtet])</f>
        <v>4.8000000000000007</v>
      </c>
      <c r="V106" s="2"/>
    </row>
    <row r="107" spans="1:22" x14ac:dyDescent="0.2">
      <c r="A107" t="s">
        <v>0</v>
      </c>
      <c r="B107">
        <v>17</v>
      </c>
      <c r="C107" t="s">
        <v>18</v>
      </c>
      <c r="D107" t="s">
        <v>6</v>
      </c>
      <c r="E107" t="s">
        <v>19</v>
      </c>
      <c r="F107">
        <v>1</v>
      </c>
      <c r="G107">
        <v>0</v>
      </c>
      <c r="H107">
        <v>2</v>
      </c>
      <c r="I107">
        <v>0</v>
      </c>
      <c r="J107">
        <v>3</v>
      </c>
      <c r="K107">
        <v>2</v>
      </c>
      <c r="M107">
        <v>106</v>
      </c>
      <c r="N107">
        <f t="shared" si="5"/>
        <v>6</v>
      </c>
      <c r="O107">
        <f t="shared" si="4"/>
        <v>72</v>
      </c>
      <c r="Q107">
        <v>106</v>
      </c>
      <c r="R107" s="1">
        <f>Tabelle3[[#This Row],[Seite]]-0</f>
        <v>106</v>
      </c>
      <c r="S107">
        <v>6</v>
      </c>
      <c r="T107">
        <v>72</v>
      </c>
      <c r="U107" s="2" cm="1">
        <f t="array" ref="U107">SUMPRODUCT((Tabelle2[Seite]=Q107)*Tabelle2[Score_Gewichtet])</f>
        <v>6.25</v>
      </c>
      <c r="V107" s="2"/>
    </row>
    <row r="108" spans="1:22" x14ac:dyDescent="0.2">
      <c r="A108" t="s">
        <v>0</v>
      </c>
      <c r="B108">
        <v>17</v>
      </c>
      <c r="C108" t="s">
        <v>18</v>
      </c>
      <c r="D108" t="s">
        <v>2</v>
      </c>
      <c r="E108" t="s">
        <v>21</v>
      </c>
      <c r="F108">
        <v>0</v>
      </c>
      <c r="G108">
        <v>0</v>
      </c>
      <c r="H108">
        <v>0</v>
      </c>
      <c r="I108">
        <v>1</v>
      </c>
      <c r="J108">
        <v>1</v>
      </c>
      <c r="K108">
        <v>0.1</v>
      </c>
      <c r="M108">
        <v>107</v>
      </c>
      <c r="N108">
        <f t="shared" si="5"/>
        <v>5</v>
      </c>
      <c r="O108">
        <f t="shared" si="4"/>
        <v>89</v>
      </c>
      <c r="Q108">
        <v>107</v>
      </c>
      <c r="R108" s="1">
        <f>Tabelle3[[#This Row],[Seite]]-0</f>
        <v>107</v>
      </c>
      <c r="S108">
        <v>5</v>
      </c>
      <c r="T108">
        <v>89</v>
      </c>
      <c r="U108" s="2" cm="1">
        <f t="array" ref="U108">SUMPRODUCT((Tabelle2[Seite]=Q108)*Tabelle2[Score_Gewichtet])</f>
        <v>10.25</v>
      </c>
      <c r="V108" s="2"/>
    </row>
    <row r="109" spans="1:22" x14ac:dyDescent="0.2">
      <c r="A109" t="s">
        <v>0</v>
      </c>
      <c r="B109">
        <v>17</v>
      </c>
      <c r="C109" t="s">
        <v>18</v>
      </c>
      <c r="D109" t="s">
        <v>2</v>
      </c>
      <c r="E109" t="s">
        <v>54</v>
      </c>
      <c r="F109">
        <v>0</v>
      </c>
      <c r="G109">
        <v>0</v>
      </c>
      <c r="H109">
        <v>0</v>
      </c>
      <c r="I109">
        <v>1</v>
      </c>
      <c r="J109">
        <v>1</v>
      </c>
      <c r="K109">
        <v>0.1</v>
      </c>
      <c r="M109">
        <v>108</v>
      </c>
      <c r="N109">
        <f t="shared" si="5"/>
        <v>1</v>
      </c>
      <c r="O109">
        <f t="shared" si="4"/>
        <v>135</v>
      </c>
      <c r="Q109">
        <v>108</v>
      </c>
      <c r="R109" s="1">
        <f>Tabelle3[[#This Row],[Seite]]-0</f>
        <v>108</v>
      </c>
      <c r="S109">
        <v>1</v>
      </c>
      <c r="T109">
        <v>135</v>
      </c>
      <c r="U109" s="2" cm="1">
        <f t="array" ref="U109">SUMPRODUCT((Tabelle2[Seite]=Q109)*Tabelle2[Score_Gewichtet])</f>
        <v>0.75</v>
      </c>
      <c r="V109" s="2"/>
    </row>
    <row r="110" spans="1:22" x14ac:dyDescent="0.2">
      <c r="A110" t="s">
        <v>0</v>
      </c>
      <c r="B110">
        <v>17</v>
      </c>
      <c r="C110" t="s">
        <v>27</v>
      </c>
      <c r="D110" t="s">
        <v>6</v>
      </c>
      <c r="E110" t="s">
        <v>55</v>
      </c>
      <c r="F110">
        <v>0</v>
      </c>
      <c r="G110">
        <v>0</v>
      </c>
      <c r="H110">
        <v>0</v>
      </c>
      <c r="I110">
        <v>1</v>
      </c>
      <c r="J110">
        <v>1</v>
      </c>
      <c r="K110">
        <v>0.1</v>
      </c>
      <c r="M110">
        <v>109</v>
      </c>
      <c r="N110">
        <f t="shared" si="5"/>
        <v>6</v>
      </c>
      <c r="O110">
        <f t="shared" si="4"/>
        <v>72</v>
      </c>
      <c r="Q110">
        <v>109</v>
      </c>
      <c r="R110" s="1">
        <f>Tabelle3[[#This Row],[Seite]]-0</f>
        <v>109</v>
      </c>
      <c r="S110">
        <v>6</v>
      </c>
      <c r="T110">
        <v>72</v>
      </c>
      <c r="U110" s="2" cm="1">
        <f t="array" ref="U110">SUMPRODUCT((Tabelle2[Seite]=Q110)*Tabelle2[Score_Gewichtet])</f>
        <v>4.05</v>
      </c>
      <c r="V110" s="2"/>
    </row>
    <row r="111" spans="1:22" x14ac:dyDescent="0.2">
      <c r="A111" t="s">
        <v>0</v>
      </c>
      <c r="B111">
        <v>18</v>
      </c>
      <c r="C111" t="s">
        <v>4</v>
      </c>
      <c r="D111" t="s">
        <v>33</v>
      </c>
      <c r="E111" t="s">
        <v>36</v>
      </c>
      <c r="F111">
        <v>2</v>
      </c>
      <c r="G111">
        <v>0</v>
      </c>
      <c r="H111">
        <v>0</v>
      </c>
      <c r="I111">
        <v>0</v>
      </c>
      <c r="J111">
        <v>2</v>
      </c>
      <c r="K111">
        <v>2</v>
      </c>
      <c r="M111">
        <v>110</v>
      </c>
      <c r="N111">
        <f t="shared" si="5"/>
        <v>6</v>
      </c>
      <c r="O111">
        <f t="shared" si="4"/>
        <v>72</v>
      </c>
      <c r="Q111">
        <v>110</v>
      </c>
      <c r="R111" s="1">
        <f>Tabelle3[[#This Row],[Seite]]-0</f>
        <v>110</v>
      </c>
      <c r="S111">
        <v>6</v>
      </c>
      <c r="T111">
        <v>72</v>
      </c>
      <c r="U111" s="2" cm="1">
        <f t="array" ref="U111">SUMPRODUCT((Tabelle2[Seite]=Q111)*Tabelle2[Score_Gewichtet])</f>
        <v>29.349999999999998</v>
      </c>
      <c r="V111" s="2" t="s">
        <v>153</v>
      </c>
    </row>
    <row r="112" spans="1:22" x14ac:dyDescent="0.2">
      <c r="A112" t="s">
        <v>0</v>
      </c>
      <c r="B112">
        <v>18</v>
      </c>
      <c r="C112" t="s">
        <v>4</v>
      </c>
      <c r="D112" t="s">
        <v>6</v>
      </c>
      <c r="E112" t="s">
        <v>45</v>
      </c>
      <c r="F112">
        <v>0</v>
      </c>
      <c r="G112">
        <v>1</v>
      </c>
      <c r="H112">
        <v>0</v>
      </c>
      <c r="I112">
        <v>0</v>
      </c>
      <c r="J112">
        <v>1</v>
      </c>
      <c r="K112">
        <v>0.75</v>
      </c>
      <c r="M112">
        <v>111</v>
      </c>
      <c r="N112">
        <f t="shared" si="5"/>
        <v>4</v>
      </c>
      <c r="O112">
        <f t="shared" si="4"/>
        <v>100</v>
      </c>
      <c r="Q112">
        <v>111</v>
      </c>
      <c r="R112" s="1">
        <f>Tabelle3[[#This Row],[Seite]]-0</f>
        <v>111</v>
      </c>
      <c r="S112">
        <v>4</v>
      </c>
      <c r="T112">
        <v>100</v>
      </c>
      <c r="U112" s="2" cm="1">
        <f t="array" ref="U112">SUMPRODUCT((Tabelle2[Seite]=Q112)*Tabelle2[Score_Gewichtet])</f>
        <v>3.7</v>
      </c>
      <c r="V112" s="2"/>
    </row>
    <row r="113" spans="1:22" x14ac:dyDescent="0.2">
      <c r="A113" t="s">
        <v>0</v>
      </c>
      <c r="B113">
        <v>18</v>
      </c>
      <c r="C113" t="s">
        <v>4</v>
      </c>
      <c r="D113" t="s">
        <v>2</v>
      </c>
      <c r="E113" t="s">
        <v>9</v>
      </c>
      <c r="F113">
        <v>0</v>
      </c>
      <c r="G113">
        <v>0</v>
      </c>
      <c r="H113">
        <v>1</v>
      </c>
      <c r="I113">
        <v>0</v>
      </c>
      <c r="J113">
        <v>1</v>
      </c>
      <c r="K113">
        <v>0.5</v>
      </c>
      <c r="M113">
        <v>112</v>
      </c>
      <c r="N113">
        <f t="shared" si="5"/>
        <v>6</v>
      </c>
      <c r="O113">
        <f t="shared" si="4"/>
        <v>72</v>
      </c>
      <c r="Q113">
        <v>112</v>
      </c>
      <c r="R113" s="1">
        <f>Tabelle3[[#This Row],[Seite]]-0</f>
        <v>112</v>
      </c>
      <c r="S113">
        <v>6</v>
      </c>
      <c r="T113">
        <v>72</v>
      </c>
      <c r="U113" s="2" cm="1">
        <f t="array" ref="U113">SUMPRODUCT((Tabelle2[Seite]=Q113)*Tabelle2[Score_Gewichtet])</f>
        <v>4.75</v>
      </c>
      <c r="V113" s="2"/>
    </row>
    <row r="114" spans="1:22" x14ac:dyDescent="0.2">
      <c r="A114" t="s">
        <v>0</v>
      </c>
      <c r="B114">
        <v>18</v>
      </c>
      <c r="C114" t="s">
        <v>1</v>
      </c>
      <c r="D114" t="s">
        <v>33</v>
      </c>
      <c r="E114" t="s">
        <v>45</v>
      </c>
      <c r="F114">
        <v>0</v>
      </c>
      <c r="G114">
        <v>1</v>
      </c>
      <c r="H114">
        <v>0</v>
      </c>
      <c r="I114">
        <v>0</v>
      </c>
      <c r="J114">
        <v>1</v>
      </c>
      <c r="K114">
        <v>0.75</v>
      </c>
      <c r="M114">
        <v>113</v>
      </c>
      <c r="N114">
        <f t="shared" si="5"/>
        <v>6</v>
      </c>
      <c r="O114">
        <f t="shared" si="4"/>
        <v>72</v>
      </c>
      <c r="Q114">
        <v>113</v>
      </c>
      <c r="R114" s="4">
        <f>Tabelle3[[#This Row],[Seite]]-0</f>
        <v>113</v>
      </c>
      <c r="S114">
        <v>6</v>
      </c>
      <c r="T114">
        <v>72</v>
      </c>
      <c r="U114" s="2" cm="1">
        <f t="array" ref="U114">SUMPRODUCT((Tabelle2[Seite]=Q114)*Tabelle2[Score_Gewichtet])</f>
        <v>4.3499999999999996</v>
      </c>
      <c r="V114" s="2"/>
    </row>
    <row r="115" spans="1:22" x14ac:dyDescent="0.2">
      <c r="A115" t="s">
        <v>0</v>
      </c>
      <c r="B115">
        <v>18</v>
      </c>
      <c r="C115" t="s">
        <v>15</v>
      </c>
      <c r="D115" t="s">
        <v>2</v>
      </c>
      <c r="E115" t="s">
        <v>16</v>
      </c>
      <c r="F115">
        <v>0</v>
      </c>
      <c r="G115">
        <v>0</v>
      </c>
      <c r="H115">
        <v>0</v>
      </c>
      <c r="I115">
        <v>1</v>
      </c>
      <c r="J115">
        <v>1</v>
      </c>
      <c r="K115">
        <v>0.1</v>
      </c>
      <c r="M115">
        <v>114</v>
      </c>
      <c r="N115">
        <f t="shared" si="5"/>
        <v>5</v>
      </c>
      <c r="O115">
        <f t="shared" si="4"/>
        <v>89</v>
      </c>
      <c r="Q115">
        <v>114</v>
      </c>
      <c r="R115" s="4">
        <f>Tabelle3[[#This Row],[Seite]]-0</f>
        <v>114</v>
      </c>
      <c r="S115">
        <v>5</v>
      </c>
      <c r="T115">
        <v>89</v>
      </c>
      <c r="U115" s="2" cm="1">
        <f t="array" ref="U115">SUMPRODUCT((Tabelle2[Seite]=Q115)*Tabelle2[Score_Gewichtet])</f>
        <v>8</v>
      </c>
      <c r="V115" s="2"/>
    </row>
    <row r="116" spans="1:22" x14ac:dyDescent="0.2">
      <c r="A116" t="s">
        <v>0</v>
      </c>
      <c r="B116">
        <v>18</v>
      </c>
      <c r="C116" t="s">
        <v>15</v>
      </c>
      <c r="D116" t="s">
        <v>6</v>
      </c>
      <c r="E116" t="s">
        <v>37</v>
      </c>
      <c r="F116">
        <v>0</v>
      </c>
      <c r="G116">
        <v>0</v>
      </c>
      <c r="H116">
        <v>1</v>
      </c>
      <c r="I116">
        <v>0</v>
      </c>
      <c r="J116">
        <v>1</v>
      </c>
      <c r="K116">
        <v>0.5</v>
      </c>
      <c r="M116">
        <v>115</v>
      </c>
      <c r="N116">
        <f t="shared" si="5"/>
        <v>17</v>
      </c>
      <c r="O116">
        <f t="shared" si="4"/>
        <v>5</v>
      </c>
      <c r="Q116">
        <v>115</v>
      </c>
      <c r="R116" s="4">
        <f>Tabelle3[[#This Row],[Seite]]-0</f>
        <v>115</v>
      </c>
      <c r="S116">
        <v>17</v>
      </c>
      <c r="T116">
        <v>5</v>
      </c>
      <c r="U116" s="2" cm="1">
        <f t="array" ref="U116">SUMPRODUCT((Tabelle2[Seite]=Q116)*Tabelle2[Score_Gewichtet])</f>
        <v>17.799999999999997</v>
      </c>
      <c r="V116" s="2"/>
    </row>
    <row r="117" spans="1:22" x14ac:dyDescent="0.2">
      <c r="A117" t="s">
        <v>0</v>
      </c>
      <c r="B117">
        <v>18</v>
      </c>
      <c r="C117" t="s">
        <v>18</v>
      </c>
      <c r="D117" t="s">
        <v>6</v>
      </c>
      <c r="E117" t="s">
        <v>19</v>
      </c>
      <c r="F117">
        <v>0</v>
      </c>
      <c r="G117">
        <v>0</v>
      </c>
      <c r="H117">
        <v>1</v>
      </c>
      <c r="I117">
        <v>0</v>
      </c>
      <c r="J117">
        <v>1</v>
      </c>
      <c r="K117">
        <v>0.5</v>
      </c>
      <c r="M117">
        <v>116</v>
      </c>
      <c r="N117">
        <f t="shared" si="5"/>
        <v>8</v>
      </c>
      <c r="O117">
        <f t="shared" si="4"/>
        <v>56</v>
      </c>
      <c r="Q117">
        <v>116</v>
      </c>
      <c r="R117" s="4">
        <f>Tabelle3[[#This Row],[Seite]]-0</f>
        <v>116</v>
      </c>
      <c r="S117">
        <v>8</v>
      </c>
      <c r="T117">
        <v>56</v>
      </c>
      <c r="U117" s="2" cm="1">
        <f t="array" ref="U117">SUMPRODUCT((Tabelle2[Seite]=Q117)*Tabelle2[Score_Gewichtet])</f>
        <v>6.5500000000000007</v>
      </c>
      <c r="V117" s="2"/>
    </row>
    <row r="118" spans="1:22" x14ac:dyDescent="0.2">
      <c r="A118" t="s">
        <v>0</v>
      </c>
      <c r="B118">
        <v>18</v>
      </c>
      <c r="C118" t="s">
        <v>18</v>
      </c>
      <c r="D118" t="s">
        <v>2</v>
      </c>
      <c r="E118" t="s">
        <v>21</v>
      </c>
      <c r="F118">
        <v>0</v>
      </c>
      <c r="G118">
        <v>0</v>
      </c>
      <c r="H118">
        <v>0</v>
      </c>
      <c r="I118">
        <v>1</v>
      </c>
      <c r="J118">
        <v>1</v>
      </c>
      <c r="K118">
        <v>0.1</v>
      </c>
      <c r="M118">
        <v>117</v>
      </c>
      <c r="N118">
        <f t="shared" si="5"/>
        <v>7</v>
      </c>
      <c r="O118">
        <f t="shared" si="4"/>
        <v>65</v>
      </c>
      <c r="Q118">
        <v>117</v>
      </c>
      <c r="R118" s="4">
        <f>Tabelle3[[#This Row],[Seite]]-0</f>
        <v>117</v>
      </c>
      <c r="S118">
        <v>7</v>
      </c>
      <c r="T118">
        <v>65</v>
      </c>
      <c r="U118" s="2" cm="1">
        <f t="array" ref="U118">SUMPRODUCT((Tabelle2[Seite]=Q118)*Tabelle2[Score_Gewichtet])</f>
        <v>6</v>
      </c>
      <c r="V118" s="2"/>
    </row>
    <row r="119" spans="1:22" x14ac:dyDescent="0.2">
      <c r="A119" t="s">
        <v>0</v>
      </c>
      <c r="B119">
        <v>18</v>
      </c>
      <c r="C119" t="s">
        <v>23</v>
      </c>
      <c r="D119" t="s">
        <v>2</v>
      </c>
      <c r="E119" t="s">
        <v>56</v>
      </c>
      <c r="F119">
        <v>1</v>
      </c>
      <c r="G119">
        <v>0</v>
      </c>
      <c r="H119">
        <v>0</v>
      </c>
      <c r="I119">
        <v>0</v>
      </c>
      <c r="J119">
        <v>1</v>
      </c>
      <c r="K119">
        <v>1</v>
      </c>
      <c r="M119">
        <v>118</v>
      </c>
      <c r="N119">
        <f t="shared" si="5"/>
        <v>3</v>
      </c>
      <c r="O119">
        <f t="shared" si="4"/>
        <v>112</v>
      </c>
      <c r="Q119">
        <v>118</v>
      </c>
      <c r="R119" s="4">
        <f>Tabelle3[[#This Row],[Seite]]-0</f>
        <v>118</v>
      </c>
      <c r="S119">
        <v>3</v>
      </c>
      <c r="T119">
        <v>112</v>
      </c>
      <c r="U119" s="2" cm="1">
        <f t="array" ref="U119">SUMPRODUCT((Tabelle2[Seite]=Q119)*Tabelle2[Score_Gewichtet])</f>
        <v>2</v>
      </c>
      <c r="V119" s="2"/>
    </row>
    <row r="120" spans="1:22" x14ac:dyDescent="0.2">
      <c r="A120" t="s">
        <v>0</v>
      </c>
      <c r="B120">
        <v>19</v>
      </c>
      <c r="C120" t="s">
        <v>4</v>
      </c>
      <c r="D120" t="s">
        <v>2</v>
      </c>
      <c r="E120" t="s">
        <v>5</v>
      </c>
      <c r="F120">
        <v>0</v>
      </c>
      <c r="G120">
        <v>0</v>
      </c>
      <c r="H120">
        <v>0</v>
      </c>
      <c r="I120">
        <v>1</v>
      </c>
      <c r="J120">
        <v>1</v>
      </c>
      <c r="K120">
        <v>0.1</v>
      </c>
      <c r="M120">
        <v>119</v>
      </c>
      <c r="N120">
        <f t="shared" si="5"/>
        <v>6</v>
      </c>
      <c r="O120">
        <f t="shared" si="4"/>
        <v>72</v>
      </c>
      <c r="Q120">
        <v>119</v>
      </c>
      <c r="R120" s="4">
        <f>Tabelle3[[#This Row],[Seite]]-0</f>
        <v>119</v>
      </c>
      <c r="S120">
        <v>6</v>
      </c>
      <c r="T120">
        <v>72</v>
      </c>
      <c r="U120" s="2" cm="1">
        <f t="array" ref="U120">SUMPRODUCT((Tabelle2[Seite]=Q120)*Tabelle2[Score_Gewichtet])</f>
        <v>3.85</v>
      </c>
      <c r="V120" s="2"/>
    </row>
    <row r="121" spans="1:22" x14ac:dyDescent="0.2">
      <c r="A121" t="s">
        <v>0</v>
      </c>
      <c r="B121">
        <v>19</v>
      </c>
      <c r="C121" t="s">
        <v>4</v>
      </c>
      <c r="D121" t="s">
        <v>6</v>
      </c>
      <c r="E121" t="s">
        <v>5</v>
      </c>
      <c r="F121">
        <v>0</v>
      </c>
      <c r="G121">
        <v>0</v>
      </c>
      <c r="H121">
        <v>0</v>
      </c>
      <c r="I121">
        <v>1</v>
      </c>
      <c r="J121">
        <v>1</v>
      </c>
      <c r="K121">
        <v>0.1</v>
      </c>
      <c r="M121">
        <v>120</v>
      </c>
      <c r="N121">
        <f t="shared" si="5"/>
        <v>4</v>
      </c>
      <c r="O121">
        <f t="shared" si="4"/>
        <v>100</v>
      </c>
      <c r="Q121">
        <v>120</v>
      </c>
      <c r="R121" s="4">
        <f>Tabelle3[[#This Row],[Seite]]-0</f>
        <v>120</v>
      </c>
      <c r="S121">
        <v>4</v>
      </c>
      <c r="T121">
        <v>100</v>
      </c>
      <c r="U121" s="2" cm="1">
        <f t="array" ref="U121">SUMPRODUCT((Tabelle2[Seite]=Q121)*Tabelle2[Score_Gewichtet])</f>
        <v>2.5999999999999996</v>
      </c>
      <c r="V121" s="2"/>
    </row>
    <row r="122" spans="1:22" x14ac:dyDescent="0.2">
      <c r="A122" t="s">
        <v>0</v>
      </c>
      <c r="B122">
        <v>19</v>
      </c>
      <c r="C122" t="s">
        <v>15</v>
      </c>
      <c r="D122" t="s">
        <v>2</v>
      </c>
      <c r="E122" t="s">
        <v>16</v>
      </c>
      <c r="F122">
        <v>0</v>
      </c>
      <c r="G122">
        <v>0</v>
      </c>
      <c r="H122">
        <v>0</v>
      </c>
      <c r="I122">
        <v>2</v>
      </c>
      <c r="J122">
        <v>2</v>
      </c>
      <c r="K122">
        <v>0.2</v>
      </c>
      <c r="M122">
        <v>121</v>
      </c>
      <c r="N122">
        <f t="shared" si="5"/>
        <v>4</v>
      </c>
      <c r="O122">
        <f t="shared" si="4"/>
        <v>100</v>
      </c>
      <c r="Q122">
        <v>121</v>
      </c>
      <c r="R122" s="4">
        <f>Tabelle3[[#This Row],[Seite]]-0</f>
        <v>121</v>
      </c>
      <c r="S122">
        <v>4</v>
      </c>
      <c r="T122">
        <v>100</v>
      </c>
      <c r="U122" s="2" cm="1">
        <f t="array" ref="U122">SUMPRODUCT((Tabelle2[Seite]=Q122)*Tabelle2[Score_Gewichtet])</f>
        <v>2.7</v>
      </c>
      <c r="V122" s="2"/>
    </row>
    <row r="123" spans="1:22" x14ac:dyDescent="0.2">
      <c r="A123" t="s">
        <v>0</v>
      </c>
      <c r="B123">
        <v>19</v>
      </c>
      <c r="C123" t="s">
        <v>18</v>
      </c>
      <c r="D123" t="s">
        <v>2</v>
      </c>
      <c r="E123" t="s">
        <v>54</v>
      </c>
      <c r="F123">
        <v>0</v>
      </c>
      <c r="G123">
        <v>0</v>
      </c>
      <c r="H123">
        <v>0</v>
      </c>
      <c r="I123">
        <v>3</v>
      </c>
      <c r="J123">
        <v>3</v>
      </c>
      <c r="K123">
        <v>0.3</v>
      </c>
      <c r="M123">
        <v>122</v>
      </c>
      <c r="N123">
        <f t="shared" si="5"/>
        <v>6</v>
      </c>
      <c r="O123">
        <f t="shared" si="4"/>
        <v>72</v>
      </c>
      <c r="Q123">
        <v>122</v>
      </c>
      <c r="R123" s="4">
        <f>Tabelle3[[#This Row],[Seite]]-0</f>
        <v>122</v>
      </c>
      <c r="S123">
        <v>6</v>
      </c>
      <c r="T123">
        <v>72</v>
      </c>
      <c r="U123" s="2" cm="1">
        <f t="array" ref="U123">SUMPRODUCT((Tabelle2[Seite]=Q123)*Tabelle2[Score_Gewichtet])</f>
        <v>5.15</v>
      </c>
      <c r="V123" s="2"/>
    </row>
    <row r="124" spans="1:22" x14ac:dyDescent="0.2">
      <c r="A124" t="s">
        <v>0</v>
      </c>
      <c r="B124">
        <v>19</v>
      </c>
      <c r="C124" t="s">
        <v>27</v>
      </c>
      <c r="D124" t="s">
        <v>2</v>
      </c>
      <c r="E124" t="s">
        <v>5</v>
      </c>
      <c r="F124">
        <v>0</v>
      </c>
      <c r="G124">
        <v>0</v>
      </c>
      <c r="H124">
        <v>0</v>
      </c>
      <c r="I124">
        <v>1</v>
      </c>
      <c r="J124">
        <v>1</v>
      </c>
      <c r="K124">
        <v>0.1</v>
      </c>
      <c r="M124">
        <v>123</v>
      </c>
      <c r="N124">
        <f t="shared" si="5"/>
        <v>1</v>
      </c>
      <c r="O124">
        <f t="shared" si="4"/>
        <v>135</v>
      </c>
      <c r="Q124">
        <v>123</v>
      </c>
      <c r="R124" s="4">
        <f>Tabelle3[[#This Row],[Seite]]-0</f>
        <v>123</v>
      </c>
      <c r="S124">
        <v>1</v>
      </c>
      <c r="T124">
        <v>135</v>
      </c>
      <c r="U124" s="2" cm="1">
        <f t="array" ref="U124">SUMPRODUCT((Tabelle2[Seite]=Q124)*Tabelle2[Score_Gewichtet])</f>
        <v>1</v>
      </c>
      <c r="V124" s="2"/>
    </row>
    <row r="125" spans="1:22" x14ac:dyDescent="0.2">
      <c r="A125" t="s">
        <v>0</v>
      </c>
      <c r="B125">
        <v>20</v>
      </c>
      <c r="C125" t="s">
        <v>4</v>
      </c>
      <c r="D125" t="s">
        <v>6</v>
      </c>
      <c r="E125" t="s">
        <v>45</v>
      </c>
      <c r="F125">
        <v>0</v>
      </c>
      <c r="G125">
        <v>1</v>
      </c>
      <c r="H125">
        <v>0</v>
      </c>
      <c r="I125">
        <v>0</v>
      </c>
      <c r="J125">
        <v>1</v>
      </c>
      <c r="K125">
        <v>0.75</v>
      </c>
      <c r="M125">
        <v>124</v>
      </c>
      <c r="N125">
        <f t="shared" si="5"/>
        <v>14</v>
      </c>
      <c r="O125">
        <f t="shared" si="4"/>
        <v>12</v>
      </c>
      <c r="Q125">
        <v>124</v>
      </c>
      <c r="R125" s="4">
        <f>Tabelle3[[#This Row],[Seite]]-0</f>
        <v>124</v>
      </c>
      <c r="S125">
        <v>14</v>
      </c>
      <c r="T125">
        <v>12</v>
      </c>
      <c r="U125" s="2" cm="1">
        <f t="array" ref="U125">SUMPRODUCT((Tabelle2[Seite]=Q125)*Tabelle2[Score_Gewichtet])</f>
        <v>6.25</v>
      </c>
      <c r="V125" s="2"/>
    </row>
    <row r="126" spans="1:22" x14ac:dyDescent="0.2">
      <c r="A126" t="s">
        <v>0</v>
      </c>
      <c r="B126">
        <v>20</v>
      </c>
      <c r="C126" t="s">
        <v>4</v>
      </c>
      <c r="D126" t="s">
        <v>2</v>
      </c>
      <c r="E126" t="s">
        <v>32</v>
      </c>
      <c r="F126">
        <v>1</v>
      </c>
      <c r="G126">
        <v>0</v>
      </c>
      <c r="H126">
        <v>0</v>
      </c>
      <c r="I126">
        <v>0</v>
      </c>
      <c r="J126">
        <v>1</v>
      </c>
      <c r="K126">
        <v>1</v>
      </c>
      <c r="M126">
        <v>125</v>
      </c>
      <c r="N126">
        <f t="shared" si="5"/>
        <v>13</v>
      </c>
      <c r="O126">
        <f t="shared" si="4"/>
        <v>15</v>
      </c>
      <c r="Q126">
        <v>125</v>
      </c>
      <c r="R126" s="4">
        <f>Tabelle3[[#This Row],[Seite]]-0</f>
        <v>125</v>
      </c>
      <c r="S126">
        <v>13</v>
      </c>
      <c r="T126">
        <v>15</v>
      </c>
      <c r="U126" s="2" cm="1">
        <f t="array" ref="U126">SUMPRODUCT((Tabelle2[Seite]=Q126)*Tabelle2[Score_Gewichtet])</f>
        <v>11.299999999999999</v>
      </c>
      <c r="V126" s="2"/>
    </row>
    <row r="127" spans="1:22" x14ac:dyDescent="0.2">
      <c r="A127" t="s">
        <v>0</v>
      </c>
      <c r="B127">
        <v>20</v>
      </c>
      <c r="C127" t="s">
        <v>1</v>
      </c>
      <c r="D127" t="s">
        <v>33</v>
      </c>
      <c r="E127" t="s">
        <v>45</v>
      </c>
      <c r="F127">
        <v>0</v>
      </c>
      <c r="G127">
        <v>1</v>
      </c>
      <c r="H127">
        <v>0</v>
      </c>
      <c r="I127">
        <v>0</v>
      </c>
      <c r="J127">
        <v>1</v>
      </c>
      <c r="K127">
        <v>0.75</v>
      </c>
      <c r="M127">
        <v>126</v>
      </c>
      <c r="N127">
        <f t="shared" si="5"/>
        <v>9</v>
      </c>
      <c r="O127">
        <f t="shared" si="4"/>
        <v>38</v>
      </c>
      <c r="Q127">
        <v>126</v>
      </c>
      <c r="R127" s="4">
        <f>Tabelle3[[#This Row],[Seite]]-0</f>
        <v>126</v>
      </c>
      <c r="S127">
        <v>9</v>
      </c>
      <c r="T127">
        <v>38</v>
      </c>
      <c r="U127" s="2" cm="1">
        <f t="array" ref="U127">SUMPRODUCT((Tabelle2[Seite]=Q127)*Tabelle2[Score_Gewichtet])</f>
        <v>15.55</v>
      </c>
      <c r="V127" s="2"/>
    </row>
    <row r="128" spans="1:22" x14ac:dyDescent="0.2">
      <c r="A128" t="s">
        <v>0</v>
      </c>
      <c r="B128">
        <v>20</v>
      </c>
      <c r="C128" t="s">
        <v>15</v>
      </c>
      <c r="D128" t="s">
        <v>2</v>
      </c>
      <c r="E128" t="s">
        <v>16</v>
      </c>
      <c r="F128">
        <v>0</v>
      </c>
      <c r="G128">
        <v>1</v>
      </c>
      <c r="H128">
        <v>0</v>
      </c>
      <c r="I128">
        <v>3</v>
      </c>
      <c r="J128">
        <v>4</v>
      </c>
      <c r="K128">
        <v>1.05</v>
      </c>
      <c r="M128">
        <v>127</v>
      </c>
      <c r="N128">
        <f t="shared" si="5"/>
        <v>16</v>
      </c>
      <c r="O128">
        <f t="shared" si="4"/>
        <v>7</v>
      </c>
      <c r="Q128">
        <v>127</v>
      </c>
      <c r="R128" s="4">
        <f>Tabelle3[[#This Row],[Seite]]-0</f>
        <v>127</v>
      </c>
      <c r="S128">
        <v>16</v>
      </c>
      <c r="T128">
        <v>7</v>
      </c>
      <c r="U128" s="2" cm="1">
        <f t="array" ref="U128">SUMPRODUCT((Tabelle2[Seite]=Q128)*Tabelle2[Score_Gewichtet])</f>
        <v>14.299999999999999</v>
      </c>
      <c r="V128" s="2"/>
    </row>
    <row r="129" spans="1:24" x14ac:dyDescent="0.2">
      <c r="A129" t="s">
        <v>0</v>
      </c>
      <c r="B129">
        <v>20</v>
      </c>
      <c r="C129" t="s">
        <v>18</v>
      </c>
      <c r="D129" t="s">
        <v>6</v>
      </c>
      <c r="E129" t="s">
        <v>19</v>
      </c>
      <c r="F129">
        <v>1</v>
      </c>
      <c r="G129">
        <v>0</v>
      </c>
      <c r="H129">
        <v>2</v>
      </c>
      <c r="I129">
        <v>0</v>
      </c>
      <c r="J129">
        <v>3</v>
      </c>
      <c r="K129">
        <v>2</v>
      </c>
      <c r="M129">
        <v>128</v>
      </c>
      <c r="N129">
        <f t="shared" si="5"/>
        <v>2</v>
      </c>
      <c r="O129">
        <f t="shared" si="4"/>
        <v>127</v>
      </c>
      <c r="Q129">
        <v>128</v>
      </c>
      <c r="R129" s="4">
        <f>Tabelle3[[#This Row],[Seite]]-0</f>
        <v>128</v>
      </c>
      <c r="S129">
        <v>2</v>
      </c>
      <c r="T129">
        <v>127</v>
      </c>
      <c r="U129" s="2" cm="1">
        <f t="array" ref="U129">SUMPRODUCT((Tabelle2[Seite]=Q129)*Tabelle2[Score_Gewichtet])</f>
        <v>0.2</v>
      </c>
      <c r="V129" s="2"/>
    </row>
    <row r="130" spans="1:24" x14ac:dyDescent="0.2">
      <c r="A130" t="s">
        <v>0</v>
      </c>
      <c r="B130">
        <v>20</v>
      </c>
      <c r="C130" t="s">
        <v>23</v>
      </c>
      <c r="D130" t="s">
        <v>33</v>
      </c>
      <c r="E130" t="s">
        <v>34</v>
      </c>
      <c r="F130">
        <v>0</v>
      </c>
      <c r="G130">
        <v>1</v>
      </c>
      <c r="H130">
        <v>0</v>
      </c>
      <c r="I130">
        <v>0</v>
      </c>
      <c r="J130">
        <v>1</v>
      </c>
      <c r="K130">
        <v>0.75</v>
      </c>
      <c r="M130">
        <v>129</v>
      </c>
      <c r="N130">
        <f t="shared" ref="N130:N161" si="6">COUNTIF(B$2:B$1069, M130)</f>
        <v>12</v>
      </c>
      <c r="O130">
        <f t="shared" si="4"/>
        <v>22</v>
      </c>
      <c r="Q130">
        <v>129</v>
      </c>
      <c r="R130" s="4">
        <f>Tabelle3[[#This Row],[Seite]]-0</f>
        <v>129</v>
      </c>
      <c r="S130">
        <v>12</v>
      </c>
      <c r="T130">
        <v>22</v>
      </c>
      <c r="U130" s="2" cm="1">
        <f t="array" ref="U130">SUMPRODUCT((Tabelle2[Seite]=Q130)*Tabelle2[Score_Gewichtet])</f>
        <v>7.6499999999999995</v>
      </c>
      <c r="V130" s="2"/>
    </row>
    <row r="131" spans="1:24" x14ac:dyDescent="0.2">
      <c r="A131" t="s">
        <v>0</v>
      </c>
      <c r="B131">
        <v>21</v>
      </c>
      <c r="C131" t="s">
        <v>18</v>
      </c>
      <c r="D131" t="s">
        <v>2</v>
      </c>
      <c r="E131" t="s">
        <v>57</v>
      </c>
      <c r="F131">
        <v>2</v>
      </c>
      <c r="G131">
        <v>0</v>
      </c>
      <c r="H131">
        <v>1</v>
      </c>
      <c r="I131">
        <v>0</v>
      </c>
      <c r="J131">
        <v>3</v>
      </c>
      <c r="K131">
        <v>2.5</v>
      </c>
      <c r="M131">
        <v>130</v>
      </c>
      <c r="N131">
        <f t="shared" si="6"/>
        <v>10</v>
      </c>
      <c r="O131">
        <f t="shared" ref="O131:O139" si="7">RANK(N131, $N$2:$N$139)</f>
        <v>31</v>
      </c>
      <c r="Q131">
        <v>130</v>
      </c>
      <c r="R131" s="4">
        <f>Tabelle3[[#This Row],[Seite]]-0</f>
        <v>130</v>
      </c>
      <c r="S131">
        <v>10</v>
      </c>
      <c r="T131">
        <v>31</v>
      </c>
      <c r="U131" s="2" cm="1">
        <f t="array" ref="U131">SUMPRODUCT((Tabelle2[Seite]=Q131)*Tabelle2[Score_Gewichtet])</f>
        <v>4.5999999999999996</v>
      </c>
      <c r="V131" s="2"/>
    </row>
    <row r="132" spans="1:24" x14ac:dyDescent="0.2">
      <c r="A132" t="s">
        <v>0</v>
      </c>
      <c r="B132">
        <v>21</v>
      </c>
      <c r="C132" t="s">
        <v>18</v>
      </c>
      <c r="D132" t="s">
        <v>6</v>
      </c>
      <c r="E132" t="s">
        <v>57</v>
      </c>
      <c r="F132">
        <v>2</v>
      </c>
      <c r="G132">
        <v>0</v>
      </c>
      <c r="H132">
        <v>1</v>
      </c>
      <c r="I132">
        <v>0</v>
      </c>
      <c r="J132">
        <v>3</v>
      </c>
      <c r="K132">
        <v>2.5</v>
      </c>
      <c r="M132">
        <v>131</v>
      </c>
      <c r="N132">
        <f t="shared" si="6"/>
        <v>10</v>
      </c>
      <c r="O132">
        <f t="shared" si="7"/>
        <v>31</v>
      </c>
      <c r="Q132">
        <v>131</v>
      </c>
      <c r="R132" s="4">
        <f>Tabelle3[[#This Row],[Seite]]-0</f>
        <v>131</v>
      </c>
      <c r="S132">
        <v>10</v>
      </c>
      <c r="T132">
        <v>31</v>
      </c>
      <c r="U132" s="2" cm="1">
        <f t="array" ref="U132">SUMPRODUCT((Tabelle2[Seite]=Q132)*Tabelle2[Score_Gewichtet])</f>
        <v>9.7499999999999982</v>
      </c>
      <c r="V132" s="2"/>
    </row>
    <row r="133" spans="1:24" x14ac:dyDescent="0.2">
      <c r="A133" t="s">
        <v>0</v>
      </c>
      <c r="B133">
        <v>22</v>
      </c>
      <c r="C133" t="s">
        <v>4</v>
      </c>
      <c r="D133" t="s">
        <v>6</v>
      </c>
      <c r="E133" t="s">
        <v>45</v>
      </c>
      <c r="F133">
        <v>0</v>
      </c>
      <c r="G133">
        <v>1</v>
      </c>
      <c r="H133">
        <v>1</v>
      </c>
      <c r="I133">
        <v>0</v>
      </c>
      <c r="J133">
        <v>2</v>
      </c>
      <c r="K133">
        <v>1.25</v>
      </c>
      <c r="M133">
        <v>132</v>
      </c>
      <c r="N133">
        <f t="shared" si="6"/>
        <v>33</v>
      </c>
      <c r="O133">
        <f t="shared" si="7"/>
        <v>1</v>
      </c>
      <c r="Q133">
        <v>132</v>
      </c>
      <c r="R133" s="4">
        <f>Tabelle3[[#This Row],[Seite]]-0</f>
        <v>132</v>
      </c>
      <c r="S133">
        <v>33</v>
      </c>
      <c r="T133">
        <v>1</v>
      </c>
      <c r="U133" s="2" cm="1">
        <f t="array" ref="U133">SUMPRODUCT((Tabelle2[Seite]=Q133)*Tabelle2[Score_Gewichtet])</f>
        <v>27.55</v>
      </c>
      <c r="V133" s="2" t="s">
        <v>154</v>
      </c>
    </row>
    <row r="134" spans="1:24" x14ac:dyDescent="0.2">
      <c r="A134" t="s">
        <v>0</v>
      </c>
      <c r="B134">
        <v>22</v>
      </c>
      <c r="C134" t="s">
        <v>1</v>
      </c>
      <c r="D134" t="s">
        <v>33</v>
      </c>
      <c r="E134" t="s">
        <v>45</v>
      </c>
      <c r="F134">
        <v>0</v>
      </c>
      <c r="G134">
        <v>1</v>
      </c>
      <c r="H134">
        <v>1</v>
      </c>
      <c r="I134">
        <v>0</v>
      </c>
      <c r="J134">
        <v>2</v>
      </c>
      <c r="K134">
        <v>1.25</v>
      </c>
      <c r="M134">
        <v>133</v>
      </c>
      <c r="N134">
        <f t="shared" si="6"/>
        <v>6</v>
      </c>
      <c r="O134">
        <f t="shared" si="7"/>
        <v>72</v>
      </c>
      <c r="Q134">
        <v>133</v>
      </c>
      <c r="R134" s="4">
        <f>Tabelle3[[#This Row],[Seite]]-0</f>
        <v>133</v>
      </c>
      <c r="S134">
        <v>6</v>
      </c>
      <c r="T134">
        <v>72</v>
      </c>
      <c r="U134" s="2" cm="1">
        <f t="array" ref="U134">SUMPRODUCT((Tabelle2[Seite]=Q134)*Tabelle2[Score_Gewichtet])</f>
        <v>4.5</v>
      </c>
      <c r="V134" s="2"/>
    </row>
    <row r="135" spans="1:24" x14ac:dyDescent="0.2">
      <c r="A135" t="s">
        <v>0</v>
      </c>
      <c r="B135">
        <v>22</v>
      </c>
      <c r="C135" t="s">
        <v>15</v>
      </c>
      <c r="D135" t="s">
        <v>2</v>
      </c>
      <c r="E135" t="s">
        <v>16</v>
      </c>
      <c r="F135">
        <v>0</v>
      </c>
      <c r="G135">
        <v>0</v>
      </c>
      <c r="H135">
        <v>0</v>
      </c>
      <c r="I135">
        <v>1</v>
      </c>
      <c r="J135">
        <v>1</v>
      </c>
      <c r="K135">
        <v>0.1</v>
      </c>
      <c r="M135">
        <v>134</v>
      </c>
      <c r="N135">
        <f t="shared" si="6"/>
        <v>21</v>
      </c>
      <c r="O135">
        <f t="shared" si="7"/>
        <v>3</v>
      </c>
      <c r="Q135">
        <v>134</v>
      </c>
      <c r="R135" s="4">
        <f>Tabelle3[[#This Row],[Seite]]-0</f>
        <v>134</v>
      </c>
      <c r="S135">
        <v>21</v>
      </c>
      <c r="T135">
        <v>3</v>
      </c>
      <c r="U135" s="2" cm="1">
        <f t="array" ref="U135">SUMPRODUCT((Tabelle2[Seite]=Q135)*Tabelle2[Score_Gewichtet])</f>
        <v>27.049999999999997</v>
      </c>
      <c r="V135" s="2" t="s">
        <v>154</v>
      </c>
    </row>
    <row r="136" spans="1:24" x14ac:dyDescent="0.2">
      <c r="A136" t="s">
        <v>0</v>
      </c>
      <c r="B136">
        <v>22</v>
      </c>
      <c r="C136" t="s">
        <v>18</v>
      </c>
      <c r="D136" t="s">
        <v>6</v>
      </c>
      <c r="E136" t="s">
        <v>19</v>
      </c>
      <c r="F136">
        <v>0</v>
      </c>
      <c r="G136">
        <v>0</v>
      </c>
      <c r="H136">
        <v>1</v>
      </c>
      <c r="I136">
        <v>0</v>
      </c>
      <c r="J136">
        <v>1</v>
      </c>
      <c r="K136">
        <v>0.5</v>
      </c>
      <c r="M136">
        <v>135</v>
      </c>
      <c r="N136">
        <f t="shared" si="6"/>
        <v>11</v>
      </c>
      <c r="O136">
        <f t="shared" si="7"/>
        <v>28</v>
      </c>
      <c r="Q136">
        <v>135</v>
      </c>
      <c r="R136" s="4">
        <f>Tabelle3[[#This Row],[Seite]]-0</f>
        <v>135</v>
      </c>
      <c r="S136">
        <v>11</v>
      </c>
      <c r="T136">
        <v>28</v>
      </c>
      <c r="U136" s="2" cm="1">
        <f t="array" ref="U136">SUMPRODUCT((Tabelle2[Seite]=Q136)*Tabelle2[Score_Gewichtet])</f>
        <v>7.6000000000000005</v>
      </c>
      <c r="V136" s="2"/>
    </row>
    <row r="137" spans="1:24" x14ac:dyDescent="0.2">
      <c r="A137" t="s">
        <v>0</v>
      </c>
      <c r="B137">
        <v>22</v>
      </c>
      <c r="C137" t="s">
        <v>18</v>
      </c>
      <c r="D137" t="s">
        <v>2</v>
      </c>
      <c r="E137" t="s">
        <v>54</v>
      </c>
      <c r="F137">
        <v>0</v>
      </c>
      <c r="G137">
        <v>0</v>
      </c>
      <c r="H137">
        <v>0</v>
      </c>
      <c r="I137">
        <v>1</v>
      </c>
      <c r="J137">
        <v>1</v>
      </c>
      <c r="K137">
        <v>0.1</v>
      </c>
      <c r="M137">
        <v>136</v>
      </c>
      <c r="N137">
        <f t="shared" si="6"/>
        <v>5</v>
      </c>
      <c r="O137">
        <f t="shared" si="7"/>
        <v>89</v>
      </c>
      <c r="Q137">
        <v>136</v>
      </c>
      <c r="R137" s="4">
        <f>Tabelle3[[#This Row],[Seite]]-0</f>
        <v>136</v>
      </c>
      <c r="U137" s="2"/>
      <c r="V137" s="2" t="s">
        <v>149</v>
      </c>
    </row>
    <row r="138" spans="1:24" x14ac:dyDescent="0.2">
      <c r="A138" t="s">
        <v>0</v>
      </c>
      <c r="B138">
        <v>22</v>
      </c>
      <c r="C138" t="s">
        <v>23</v>
      </c>
      <c r="D138" t="s">
        <v>2</v>
      </c>
      <c r="E138" t="s">
        <v>58</v>
      </c>
      <c r="F138">
        <v>0</v>
      </c>
      <c r="G138">
        <v>3</v>
      </c>
      <c r="H138">
        <v>0</v>
      </c>
      <c r="I138">
        <v>0</v>
      </c>
      <c r="J138">
        <v>3</v>
      </c>
      <c r="K138">
        <v>2.25</v>
      </c>
      <c r="M138">
        <v>137</v>
      </c>
      <c r="N138">
        <f t="shared" si="6"/>
        <v>8</v>
      </c>
      <c r="O138">
        <f t="shared" si="7"/>
        <v>56</v>
      </c>
      <c r="Q138">
        <v>137</v>
      </c>
      <c r="R138" s="4">
        <f>Tabelle3[[#This Row],[Seite]]-0</f>
        <v>137</v>
      </c>
      <c r="U138" s="2"/>
      <c r="V138" s="2" t="s">
        <v>149</v>
      </c>
    </row>
    <row r="139" spans="1:24" x14ac:dyDescent="0.2">
      <c r="A139" t="s">
        <v>0</v>
      </c>
      <c r="B139">
        <v>23</v>
      </c>
      <c r="C139" t="s">
        <v>4</v>
      </c>
      <c r="D139" t="s">
        <v>6</v>
      </c>
      <c r="E139" t="s">
        <v>45</v>
      </c>
      <c r="F139">
        <v>0</v>
      </c>
      <c r="G139">
        <v>3</v>
      </c>
      <c r="H139">
        <v>1</v>
      </c>
      <c r="I139">
        <v>0</v>
      </c>
      <c r="J139">
        <v>4</v>
      </c>
      <c r="K139">
        <v>2.85</v>
      </c>
      <c r="M139">
        <v>138</v>
      </c>
      <c r="N139">
        <f t="shared" si="6"/>
        <v>13</v>
      </c>
      <c r="O139">
        <f t="shared" si="7"/>
        <v>15</v>
      </c>
      <c r="Q139">
        <v>138</v>
      </c>
      <c r="R139" s="4">
        <f>Tabelle3[[#This Row],[Seite]]-0</f>
        <v>138</v>
      </c>
      <c r="U139" s="2"/>
      <c r="V139" s="2" t="s">
        <v>149</v>
      </c>
    </row>
    <row r="140" spans="1:24" x14ac:dyDescent="0.2">
      <c r="A140" t="s">
        <v>0</v>
      </c>
      <c r="B140">
        <v>23</v>
      </c>
      <c r="C140" t="s">
        <v>4</v>
      </c>
      <c r="D140" t="s">
        <v>6</v>
      </c>
      <c r="E140" t="s">
        <v>59</v>
      </c>
      <c r="F140">
        <v>0</v>
      </c>
      <c r="G140">
        <v>1</v>
      </c>
      <c r="H140">
        <v>0</v>
      </c>
      <c r="I140">
        <v>0</v>
      </c>
      <c r="J140">
        <v>1</v>
      </c>
      <c r="K140">
        <v>0.75</v>
      </c>
    </row>
    <row r="141" spans="1:24" x14ac:dyDescent="0.2">
      <c r="A141" t="s">
        <v>0</v>
      </c>
      <c r="B141">
        <v>23</v>
      </c>
      <c r="C141" t="s">
        <v>1</v>
      </c>
      <c r="D141" t="s">
        <v>33</v>
      </c>
      <c r="E141" t="s">
        <v>45</v>
      </c>
      <c r="F141">
        <v>0</v>
      </c>
      <c r="G141">
        <v>3</v>
      </c>
      <c r="H141">
        <v>1</v>
      </c>
      <c r="I141">
        <v>0</v>
      </c>
      <c r="J141">
        <v>4</v>
      </c>
      <c r="K141">
        <v>2.85</v>
      </c>
    </row>
    <row r="142" spans="1:24" x14ac:dyDescent="0.2">
      <c r="A142" t="s">
        <v>0</v>
      </c>
      <c r="B142">
        <v>23</v>
      </c>
      <c r="C142" t="s">
        <v>15</v>
      </c>
      <c r="D142" t="s">
        <v>2</v>
      </c>
      <c r="E142" t="s">
        <v>38</v>
      </c>
      <c r="F142">
        <v>0</v>
      </c>
      <c r="G142">
        <v>0</v>
      </c>
      <c r="H142">
        <v>1</v>
      </c>
      <c r="I142">
        <v>0</v>
      </c>
      <c r="J142">
        <v>1</v>
      </c>
      <c r="K142">
        <v>0.5</v>
      </c>
      <c r="U142">
        <v>3</v>
      </c>
      <c r="V142" t="s">
        <v>33</v>
      </c>
      <c r="W142">
        <f>COUNTIF(Tabelle3[Stufe BNE-Bezug],U142)</f>
        <v>0</v>
      </c>
      <c r="X142" s="3" t="e">
        <f>W142/W$146</f>
        <v>#DIV/0!</v>
      </c>
    </row>
    <row r="143" spans="1:24" x14ac:dyDescent="0.2">
      <c r="A143" t="s">
        <v>0</v>
      </c>
      <c r="B143">
        <v>23</v>
      </c>
      <c r="C143" t="s">
        <v>18</v>
      </c>
      <c r="D143" t="s">
        <v>2</v>
      </c>
      <c r="E143" t="s">
        <v>54</v>
      </c>
      <c r="F143">
        <v>0</v>
      </c>
      <c r="G143">
        <v>0</v>
      </c>
      <c r="H143">
        <v>0</v>
      </c>
      <c r="I143">
        <v>1</v>
      </c>
      <c r="J143">
        <v>1</v>
      </c>
      <c r="K143">
        <v>0.1</v>
      </c>
      <c r="U143">
        <v>2</v>
      </c>
      <c r="V143" t="s">
        <v>6</v>
      </c>
      <c r="W143">
        <f>COUNTIF(Tabelle3[Stufe BNE-Bezug],U143)</f>
        <v>0</v>
      </c>
      <c r="X143" s="3" t="e">
        <f>W143/W$146</f>
        <v>#DIV/0!</v>
      </c>
    </row>
    <row r="144" spans="1:24" x14ac:dyDescent="0.2">
      <c r="A144" t="s">
        <v>0</v>
      </c>
      <c r="B144">
        <v>23</v>
      </c>
      <c r="C144" t="s">
        <v>23</v>
      </c>
      <c r="D144" t="s">
        <v>2</v>
      </c>
      <c r="E144" t="s">
        <v>59</v>
      </c>
      <c r="F144">
        <v>0</v>
      </c>
      <c r="G144">
        <v>1</v>
      </c>
      <c r="H144">
        <v>0</v>
      </c>
      <c r="I144">
        <v>0</v>
      </c>
      <c r="J144">
        <v>1</v>
      </c>
      <c r="K144">
        <v>0.75</v>
      </c>
      <c r="U144">
        <v>1</v>
      </c>
      <c r="V144" t="s">
        <v>2</v>
      </c>
      <c r="W144">
        <f>COUNTIF(Tabelle3[Stufe BNE-Bezug],U144)</f>
        <v>0</v>
      </c>
      <c r="X144" s="3" t="e">
        <f>W144/W$146</f>
        <v>#DIV/0!</v>
      </c>
    </row>
    <row r="145" spans="1:24" x14ac:dyDescent="0.2">
      <c r="A145" t="s">
        <v>0</v>
      </c>
      <c r="B145">
        <v>23</v>
      </c>
      <c r="C145" t="s">
        <v>23</v>
      </c>
      <c r="D145" t="s">
        <v>6</v>
      </c>
      <c r="E145" t="s">
        <v>59</v>
      </c>
      <c r="F145">
        <v>0</v>
      </c>
      <c r="G145">
        <v>1</v>
      </c>
      <c r="H145">
        <v>0</v>
      </c>
      <c r="I145">
        <v>0</v>
      </c>
      <c r="J145">
        <v>1</v>
      </c>
      <c r="K145">
        <v>0.75</v>
      </c>
      <c r="U145">
        <v>0</v>
      </c>
      <c r="V145" t="s">
        <v>144</v>
      </c>
      <c r="W145">
        <f>COUNTIF(Tabelle3[Stufe BNE-Bezug],U145)</f>
        <v>0</v>
      </c>
      <c r="X145" s="3" t="e">
        <f>W145/W$146</f>
        <v>#DIV/0!</v>
      </c>
    </row>
    <row r="146" spans="1:24" x14ac:dyDescent="0.2">
      <c r="A146" t="s">
        <v>0</v>
      </c>
      <c r="B146">
        <v>23</v>
      </c>
      <c r="C146" t="s">
        <v>27</v>
      </c>
      <c r="D146" t="s">
        <v>6</v>
      </c>
      <c r="E146" t="s">
        <v>55</v>
      </c>
      <c r="F146">
        <v>0</v>
      </c>
      <c r="G146">
        <v>0</v>
      </c>
      <c r="H146">
        <v>0</v>
      </c>
      <c r="I146">
        <v>1</v>
      </c>
      <c r="J146">
        <v>1</v>
      </c>
      <c r="K146">
        <v>0.1</v>
      </c>
      <c r="V146" t="s">
        <v>145</v>
      </c>
      <c r="W146">
        <f>SUM(W142:W145)</f>
        <v>0</v>
      </c>
    </row>
    <row r="147" spans="1:24" x14ac:dyDescent="0.2">
      <c r="A147" t="s">
        <v>0</v>
      </c>
      <c r="B147">
        <v>24</v>
      </c>
      <c r="C147" t="s">
        <v>4</v>
      </c>
      <c r="D147" t="s">
        <v>33</v>
      </c>
      <c r="E147" t="s">
        <v>36</v>
      </c>
      <c r="F147">
        <v>0</v>
      </c>
      <c r="G147">
        <v>1</v>
      </c>
      <c r="H147">
        <v>2</v>
      </c>
      <c r="I147">
        <v>0</v>
      </c>
      <c r="J147">
        <v>3</v>
      </c>
      <c r="K147">
        <v>1.75</v>
      </c>
    </row>
    <row r="148" spans="1:24" x14ac:dyDescent="0.2">
      <c r="A148" t="s">
        <v>0</v>
      </c>
      <c r="B148">
        <v>24</v>
      </c>
      <c r="C148" t="s">
        <v>4</v>
      </c>
      <c r="D148" t="s">
        <v>6</v>
      </c>
      <c r="E148" t="s">
        <v>45</v>
      </c>
      <c r="F148">
        <v>0</v>
      </c>
      <c r="G148">
        <v>0</v>
      </c>
      <c r="H148">
        <v>2</v>
      </c>
      <c r="I148">
        <v>0</v>
      </c>
      <c r="J148">
        <v>2</v>
      </c>
      <c r="K148">
        <v>1.2</v>
      </c>
    </row>
    <row r="149" spans="1:24" x14ac:dyDescent="0.2">
      <c r="A149" t="s">
        <v>0</v>
      </c>
      <c r="B149">
        <v>24</v>
      </c>
      <c r="C149" t="s">
        <v>4</v>
      </c>
      <c r="D149" t="s">
        <v>2</v>
      </c>
      <c r="E149" t="s">
        <v>7</v>
      </c>
      <c r="F149">
        <v>0</v>
      </c>
      <c r="G149">
        <v>1</v>
      </c>
      <c r="H149">
        <v>0</v>
      </c>
      <c r="I149">
        <v>0</v>
      </c>
      <c r="J149">
        <v>1</v>
      </c>
      <c r="K149">
        <v>0.75</v>
      </c>
    </row>
    <row r="150" spans="1:24" x14ac:dyDescent="0.2">
      <c r="A150" t="s">
        <v>0</v>
      </c>
      <c r="B150">
        <v>24</v>
      </c>
      <c r="C150" t="s">
        <v>1</v>
      </c>
      <c r="D150" t="s">
        <v>33</v>
      </c>
      <c r="E150" t="s">
        <v>45</v>
      </c>
      <c r="F150">
        <v>0</v>
      </c>
      <c r="G150">
        <v>0</v>
      </c>
      <c r="H150">
        <v>2</v>
      </c>
      <c r="I150">
        <v>0</v>
      </c>
      <c r="J150">
        <v>2</v>
      </c>
      <c r="K150">
        <v>1.2</v>
      </c>
    </row>
    <row r="151" spans="1:24" x14ac:dyDescent="0.2">
      <c r="A151" t="s">
        <v>0</v>
      </c>
      <c r="B151">
        <v>24</v>
      </c>
      <c r="C151" t="s">
        <v>15</v>
      </c>
      <c r="D151" t="s">
        <v>2</v>
      </c>
      <c r="E151" t="s">
        <v>16</v>
      </c>
      <c r="F151">
        <v>0</v>
      </c>
      <c r="G151">
        <v>0</v>
      </c>
      <c r="H151">
        <v>0</v>
      </c>
      <c r="I151">
        <v>1</v>
      </c>
      <c r="J151">
        <v>1</v>
      </c>
      <c r="K151">
        <v>0.1</v>
      </c>
    </row>
    <row r="152" spans="1:24" x14ac:dyDescent="0.2">
      <c r="A152" t="s">
        <v>0</v>
      </c>
      <c r="B152">
        <v>24</v>
      </c>
      <c r="C152" t="s">
        <v>18</v>
      </c>
      <c r="D152" t="s">
        <v>2</v>
      </c>
      <c r="E152" t="s">
        <v>21</v>
      </c>
      <c r="F152">
        <v>0</v>
      </c>
      <c r="G152">
        <v>0</v>
      </c>
      <c r="H152">
        <v>0</v>
      </c>
      <c r="I152">
        <v>1</v>
      </c>
      <c r="J152">
        <v>1</v>
      </c>
      <c r="K152">
        <v>0.1</v>
      </c>
    </row>
    <row r="153" spans="1:24" x14ac:dyDescent="0.2">
      <c r="A153" t="s">
        <v>0</v>
      </c>
      <c r="B153">
        <v>24</v>
      </c>
      <c r="C153" t="s">
        <v>23</v>
      </c>
      <c r="D153" t="s">
        <v>33</v>
      </c>
      <c r="E153" t="s">
        <v>40</v>
      </c>
      <c r="F153">
        <v>0</v>
      </c>
      <c r="G153">
        <v>0</v>
      </c>
      <c r="H153">
        <v>1</v>
      </c>
      <c r="I153">
        <v>0</v>
      </c>
      <c r="J153">
        <v>1</v>
      </c>
      <c r="K153">
        <v>0.5</v>
      </c>
    </row>
    <row r="154" spans="1:24" x14ac:dyDescent="0.2">
      <c r="A154" t="s">
        <v>0</v>
      </c>
      <c r="B154">
        <v>24</v>
      </c>
      <c r="C154" t="s">
        <v>27</v>
      </c>
      <c r="D154" t="s">
        <v>33</v>
      </c>
      <c r="E154" t="s">
        <v>60</v>
      </c>
      <c r="F154">
        <v>0</v>
      </c>
      <c r="G154">
        <v>1</v>
      </c>
      <c r="H154">
        <v>0</v>
      </c>
      <c r="I154">
        <v>0</v>
      </c>
      <c r="J154">
        <v>1</v>
      </c>
      <c r="K154">
        <v>0.75</v>
      </c>
    </row>
    <row r="155" spans="1:24" x14ac:dyDescent="0.2">
      <c r="A155" t="s">
        <v>0</v>
      </c>
      <c r="B155">
        <v>25</v>
      </c>
      <c r="C155" t="s">
        <v>4</v>
      </c>
      <c r="D155" t="s">
        <v>6</v>
      </c>
      <c r="E155" t="s">
        <v>45</v>
      </c>
      <c r="F155">
        <v>0</v>
      </c>
      <c r="G155">
        <v>1</v>
      </c>
      <c r="H155">
        <v>0</v>
      </c>
      <c r="I155">
        <v>0</v>
      </c>
      <c r="J155">
        <v>1</v>
      </c>
      <c r="K155">
        <v>0.75</v>
      </c>
    </row>
    <row r="156" spans="1:24" x14ac:dyDescent="0.2">
      <c r="A156" t="s">
        <v>0</v>
      </c>
      <c r="B156">
        <v>25</v>
      </c>
      <c r="C156" t="s">
        <v>1</v>
      </c>
      <c r="D156" t="s">
        <v>33</v>
      </c>
      <c r="E156" t="s">
        <v>45</v>
      </c>
      <c r="F156">
        <v>0</v>
      </c>
      <c r="G156">
        <v>1</v>
      </c>
      <c r="H156">
        <v>0</v>
      </c>
      <c r="I156">
        <v>0</v>
      </c>
      <c r="J156">
        <v>1</v>
      </c>
      <c r="K156">
        <v>0.75</v>
      </c>
    </row>
    <row r="157" spans="1:24" x14ac:dyDescent="0.2">
      <c r="A157" t="s">
        <v>0</v>
      </c>
      <c r="B157">
        <v>25</v>
      </c>
      <c r="C157" t="s">
        <v>23</v>
      </c>
      <c r="D157" t="s">
        <v>2</v>
      </c>
      <c r="E157" t="s">
        <v>61</v>
      </c>
      <c r="F157">
        <v>0</v>
      </c>
      <c r="G157">
        <v>0</v>
      </c>
      <c r="H157">
        <v>2</v>
      </c>
      <c r="I157">
        <v>0</v>
      </c>
      <c r="J157">
        <v>2</v>
      </c>
      <c r="K157">
        <v>1</v>
      </c>
    </row>
    <row r="158" spans="1:24" x14ac:dyDescent="0.2">
      <c r="A158" t="s">
        <v>0</v>
      </c>
      <c r="B158">
        <v>26</v>
      </c>
      <c r="C158" t="s">
        <v>4</v>
      </c>
      <c r="D158" t="s">
        <v>6</v>
      </c>
      <c r="E158" t="s">
        <v>45</v>
      </c>
      <c r="F158">
        <v>0</v>
      </c>
      <c r="G158">
        <v>2</v>
      </c>
      <c r="H158">
        <v>0</v>
      </c>
      <c r="I158">
        <v>0</v>
      </c>
      <c r="J158">
        <v>2</v>
      </c>
      <c r="K158">
        <v>1.5</v>
      </c>
    </row>
    <row r="159" spans="1:24" x14ac:dyDescent="0.2">
      <c r="A159" t="s">
        <v>0</v>
      </c>
      <c r="B159">
        <v>26</v>
      </c>
      <c r="C159" t="s">
        <v>4</v>
      </c>
      <c r="D159" t="s">
        <v>2</v>
      </c>
      <c r="E159" t="s">
        <v>53</v>
      </c>
      <c r="F159">
        <v>0</v>
      </c>
      <c r="G159">
        <v>0</v>
      </c>
      <c r="H159">
        <v>0</v>
      </c>
      <c r="I159">
        <v>1</v>
      </c>
      <c r="J159">
        <v>1</v>
      </c>
      <c r="K159">
        <v>0.1</v>
      </c>
    </row>
    <row r="160" spans="1:24" x14ac:dyDescent="0.2">
      <c r="A160" t="s">
        <v>0</v>
      </c>
      <c r="B160">
        <v>26</v>
      </c>
      <c r="C160" t="s">
        <v>1</v>
      </c>
      <c r="D160" t="s">
        <v>33</v>
      </c>
      <c r="E160" t="s">
        <v>45</v>
      </c>
      <c r="F160">
        <v>0</v>
      </c>
      <c r="G160">
        <v>2</v>
      </c>
      <c r="H160">
        <v>0</v>
      </c>
      <c r="I160">
        <v>0</v>
      </c>
      <c r="J160">
        <v>2</v>
      </c>
      <c r="K160">
        <v>1.5</v>
      </c>
    </row>
    <row r="161" spans="1:11" x14ac:dyDescent="0.2">
      <c r="A161" t="s">
        <v>0</v>
      </c>
      <c r="B161">
        <v>26</v>
      </c>
      <c r="C161" t="s">
        <v>15</v>
      </c>
      <c r="D161" t="s">
        <v>2</v>
      </c>
      <c r="E161" t="s">
        <v>16</v>
      </c>
      <c r="F161">
        <v>0</v>
      </c>
      <c r="G161">
        <v>0</v>
      </c>
      <c r="H161">
        <v>0</v>
      </c>
      <c r="I161">
        <v>8</v>
      </c>
      <c r="J161">
        <v>8</v>
      </c>
      <c r="K161">
        <v>0.8</v>
      </c>
    </row>
    <row r="162" spans="1:11" x14ac:dyDescent="0.2">
      <c r="A162" t="s">
        <v>0</v>
      </c>
      <c r="B162">
        <v>26</v>
      </c>
      <c r="C162" t="s">
        <v>18</v>
      </c>
      <c r="D162" t="s">
        <v>6</v>
      </c>
      <c r="E162" t="s">
        <v>19</v>
      </c>
      <c r="F162">
        <v>0</v>
      </c>
      <c r="G162">
        <v>0</v>
      </c>
      <c r="H162">
        <v>5</v>
      </c>
      <c r="I162">
        <v>1</v>
      </c>
      <c r="J162">
        <v>6</v>
      </c>
      <c r="K162">
        <v>2.6</v>
      </c>
    </row>
    <row r="163" spans="1:11" x14ac:dyDescent="0.2">
      <c r="A163" t="s">
        <v>0</v>
      </c>
      <c r="B163">
        <v>26</v>
      </c>
      <c r="C163" t="s">
        <v>23</v>
      </c>
      <c r="D163" t="s">
        <v>2</v>
      </c>
      <c r="E163" t="s">
        <v>61</v>
      </c>
      <c r="F163">
        <v>0</v>
      </c>
      <c r="G163">
        <v>0</v>
      </c>
      <c r="H163">
        <v>1</v>
      </c>
      <c r="I163">
        <v>0</v>
      </c>
      <c r="J163">
        <v>1</v>
      </c>
      <c r="K163">
        <v>0.5</v>
      </c>
    </row>
    <row r="164" spans="1:11" x14ac:dyDescent="0.2">
      <c r="A164" t="s">
        <v>0</v>
      </c>
      <c r="B164">
        <v>27</v>
      </c>
      <c r="C164" t="s">
        <v>4</v>
      </c>
      <c r="D164" t="s">
        <v>2</v>
      </c>
      <c r="E164" t="s">
        <v>5</v>
      </c>
      <c r="F164">
        <v>0</v>
      </c>
      <c r="G164">
        <v>0</v>
      </c>
      <c r="H164">
        <v>1</v>
      </c>
      <c r="I164">
        <v>0</v>
      </c>
      <c r="J164">
        <v>1</v>
      </c>
      <c r="K164">
        <v>0.5</v>
      </c>
    </row>
    <row r="165" spans="1:11" x14ac:dyDescent="0.2">
      <c r="A165" t="s">
        <v>0</v>
      </c>
      <c r="B165">
        <v>27</v>
      </c>
      <c r="C165" t="s">
        <v>4</v>
      </c>
      <c r="D165" t="s">
        <v>6</v>
      </c>
      <c r="E165" t="s">
        <v>5</v>
      </c>
      <c r="F165">
        <v>0</v>
      </c>
      <c r="G165">
        <v>0</v>
      </c>
      <c r="H165">
        <v>1</v>
      </c>
      <c r="I165">
        <v>0</v>
      </c>
      <c r="J165">
        <v>1</v>
      </c>
      <c r="K165">
        <v>0.5</v>
      </c>
    </row>
    <row r="166" spans="1:11" x14ac:dyDescent="0.2">
      <c r="A166" t="s">
        <v>0</v>
      </c>
      <c r="B166">
        <v>27</v>
      </c>
      <c r="C166" t="s">
        <v>4</v>
      </c>
      <c r="D166" t="s">
        <v>2</v>
      </c>
      <c r="E166" t="s">
        <v>48</v>
      </c>
      <c r="F166">
        <v>0</v>
      </c>
      <c r="G166">
        <v>1</v>
      </c>
      <c r="H166">
        <v>0</v>
      </c>
      <c r="I166">
        <v>0</v>
      </c>
      <c r="J166">
        <v>1</v>
      </c>
      <c r="K166">
        <v>0.75</v>
      </c>
    </row>
    <row r="167" spans="1:11" x14ac:dyDescent="0.2">
      <c r="A167" t="s">
        <v>0</v>
      </c>
      <c r="B167">
        <v>27</v>
      </c>
      <c r="C167" t="s">
        <v>11</v>
      </c>
      <c r="D167" t="s">
        <v>2</v>
      </c>
      <c r="E167" t="s">
        <v>62</v>
      </c>
      <c r="F167">
        <v>0</v>
      </c>
      <c r="G167">
        <v>0</v>
      </c>
      <c r="H167">
        <v>5</v>
      </c>
      <c r="I167">
        <v>3</v>
      </c>
      <c r="J167">
        <v>8</v>
      </c>
      <c r="K167">
        <v>2.8</v>
      </c>
    </row>
    <row r="168" spans="1:11" x14ac:dyDescent="0.2">
      <c r="A168" t="s">
        <v>0</v>
      </c>
      <c r="B168">
        <v>27</v>
      </c>
      <c r="C168" t="s">
        <v>11</v>
      </c>
      <c r="D168" t="s">
        <v>63</v>
      </c>
      <c r="E168" t="s">
        <v>64</v>
      </c>
      <c r="F168">
        <v>4</v>
      </c>
      <c r="G168">
        <v>0</v>
      </c>
      <c r="H168">
        <v>2</v>
      </c>
      <c r="I168">
        <v>0</v>
      </c>
      <c r="J168">
        <v>6</v>
      </c>
      <c r="K168">
        <v>5</v>
      </c>
    </row>
    <row r="169" spans="1:11" x14ac:dyDescent="0.2">
      <c r="A169" t="s">
        <v>0</v>
      </c>
      <c r="B169">
        <v>27</v>
      </c>
      <c r="C169" t="s">
        <v>1</v>
      </c>
      <c r="D169" t="s">
        <v>2</v>
      </c>
      <c r="E169" t="s">
        <v>48</v>
      </c>
      <c r="F169">
        <v>0</v>
      </c>
      <c r="G169">
        <v>1</v>
      </c>
      <c r="H169">
        <v>0</v>
      </c>
      <c r="I169">
        <v>0</v>
      </c>
      <c r="J169">
        <v>1</v>
      </c>
      <c r="K169">
        <v>0.75</v>
      </c>
    </row>
    <row r="170" spans="1:11" x14ac:dyDescent="0.2">
      <c r="A170" t="s">
        <v>0</v>
      </c>
      <c r="B170">
        <v>27</v>
      </c>
      <c r="C170" t="s">
        <v>15</v>
      </c>
      <c r="D170" t="s">
        <v>2</v>
      </c>
      <c r="E170" t="s">
        <v>16</v>
      </c>
      <c r="F170">
        <v>0</v>
      </c>
      <c r="G170">
        <v>0</v>
      </c>
      <c r="H170">
        <v>0</v>
      </c>
      <c r="I170">
        <v>7</v>
      </c>
      <c r="J170">
        <v>7</v>
      </c>
      <c r="K170">
        <v>0.7</v>
      </c>
    </row>
    <row r="171" spans="1:11" x14ac:dyDescent="0.2">
      <c r="A171" t="s">
        <v>0</v>
      </c>
      <c r="B171">
        <v>27</v>
      </c>
      <c r="C171" t="s">
        <v>15</v>
      </c>
      <c r="D171" t="s">
        <v>2</v>
      </c>
      <c r="E171" t="s">
        <v>48</v>
      </c>
      <c r="F171">
        <v>0</v>
      </c>
      <c r="G171">
        <v>1</v>
      </c>
      <c r="H171">
        <v>0</v>
      </c>
      <c r="I171">
        <v>0</v>
      </c>
      <c r="J171">
        <v>1</v>
      </c>
      <c r="K171">
        <v>0.75</v>
      </c>
    </row>
    <row r="172" spans="1:11" x14ac:dyDescent="0.2">
      <c r="A172" t="s">
        <v>0</v>
      </c>
      <c r="B172">
        <v>27</v>
      </c>
      <c r="C172" t="s">
        <v>18</v>
      </c>
      <c r="D172" t="s">
        <v>2</v>
      </c>
      <c r="E172" t="s">
        <v>62</v>
      </c>
      <c r="F172">
        <v>0</v>
      </c>
      <c r="G172">
        <v>0</v>
      </c>
      <c r="H172">
        <v>5</v>
      </c>
      <c r="I172">
        <v>3</v>
      </c>
      <c r="J172">
        <v>8</v>
      </c>
      <c r="K172">
        <v>2.8</v>
      </c>
    </row>
    <row r="173" spans="1:11" x14ac:dyDescent="0.2">
      <c r="A173" t="s">
        <v>0</v>
      </c>
      <c r="B173">
        <v>27</v>
      </c>
      <c r="C173" t="s">
        <v>18</v>
      </c>
      <c r="D173" t="s">
        <v>2</v>
      </c>
      <c r="E173" t="s">
        <v>54</v>
      </c>
      <c r="F173">
        <v>1</v>
      </c>
      <c r="G173">
        <v>0</v>
      </c>
      <c r="H173">
        <v>0</v>
      </c>
      <c r="I173">
        <v>0</v>
      </c>
      <c r="J173">
        <v>1</v>
      </c>
      <c r="K173">
        <v>1</v>
      </c>
    </row>
    <row r="174" spans="1:11" x14ac:dyDescent="0.2">
      <c r="A174" t="s">
        <v>0</v>
      </c>
      <c r="B174">
        <v>27</v>
      </c>
      <c r="C174" t="s">
        <v>23</v>
      </c>
      <c r="D174" t="s">
        <v>2</v>
      </c>
      <c r="E174" t="s">
        <v>48</v>
      </c>
      <c r="F174">
        <v>0</v>
      </c>
      <c r="G174">
        <v>1</v>
      </c>
      <c r="H174">
        <v>0</v>
      </c>
      <c r="I174">
        <v>0</v>
      </c>
      <c r="J174">
        <v>1</v>
      </c>
      <c r="K174">
        <v>0.75</v>
      </c>
    </row>
    <row r="175" spans="1:11" x14ac:dyDescent="0.2">
      <c r="A175" t="s">
        <v>0</v>
      </c>
      <c r="B175">
        <v>27</v>
      </c>
      <c r="C175" t="s">
        <v>23</v>
      </c>
      <c r="D175" t="s">
        <v>33</v>
      </c>
      <c r="E175" t="s">
        <v>40</v>
      </c>
      <c r="F175">
        <v>0</v>
      </c>
      <c r="G175">
        <v>0</v>
      </c>
      <c r="H175">
        <v>1</v>
      </c>
      <c r="I175">
        <v>0</v>
      </c>
      <c r="J175">
        <v>1</v>
      </c>
      <c r="K175">
        <v>0.5</v>
      </c>
    </row>
    <row r="176" spans="1:11" x14ac:dyDescent="0.2">
      <c r="A176" t="s">
        <v>0</v>
      </c>
      <c r="B176">
        <v>27</v>
      </c>
      <c r="C176" t="s">
        <v>23</v>
      </c>
      <c r="D176" t="s">
        <v>2</v>
      </c>
      <c r="E176" t="s">
        <v>58</v>
      </c>
      <c r="F176">
        <v>0</v>
      </c>
      <c r="G176">
        <v>1</v>
      </c>
      <c r="H176">
        <v>0</v>
      </c>
      <c r="I176">
        <v>0</v>
      </c>
      <c r="J176">
        <v>1</v>
      </c>
      <c r="K176">
        <v>0.75</v>
      </c>
    </row>
    <row r="177" spans="1:11" x14ac:dyDescent="0.2">
      <c r="A177" t="s">
        <v>0</v>
      </c>
      <c r="B177">
        <v>27</v>
      </c>
      <c r="C177" t="s">
        <v>27</v>
      </c>
      <c r="D177" t="s">
        <v>2</v>
      </c>
      <c r="E177" t="s">
        <v>5</v>
      </c>
      <c r="F177">
        <v>0</v>
      </c>
      <c r="G177">
        <v>0</v>
      </c>
      <c r="H177">
        <v>1</v>
      </c>
      <c r="I177">
        <v>0</v>
      </c>
      <c r="J177">
        <v>1</v>
      </c>
      <c r="K177">
        <v>0.5</v>
      </c>
    </row>
    <row r="178" spans="1:11" x14ac:dyDescent="0.2">
      <c r="A178" t="s">
        <v>0</v>
      </c>
      <c r="B178">
        <v>28</v>
      </c>
      <c r="C178" t="s">
        <v>4</v>
      </c>
      <c r="D178" t="s">
        <v>6</v>
      </c>
      <c r="E178" t="s">
        <v>45</v>
      </c>
      <c r="F178">
        <v>0</v>
      </c>
      <c r="G178">
        <v>1</v>
      </c>
      <c r="H178">
        <v>1</v>
      </c>
      <c r="I178">
        <v>1</v>
      </c>
      <c r="J178">
        <v>3</v>
      </c>
      <c r="K178">
        <v>1.35</v>
      </c>
    </row>
    <row r="179" spans="1:11" x14ac:dyDescent="0.2">
      <c r="A179" t="s">
        <v>0</v>
      </c>
      <c r="B179">
        <v>28</v>
      </c>
      <c r="C179" t="s">
        <v>4</v>
      </c>
      <c r="D179" t="s">
        <v>2</v>
      </c>
      <c r="E179" t="s">
        <v>32</v>
      </c>
      <c r="F179">
        <v>2</v>
      </c>
      <c r="G179">
        <v>0</v>
      </c>
      <c r="H179">
        <v>1</v>
      </c>
      <c r="I179">
        <v>3</v>
      </c>
      <c r="J179">
        <v>6</v>
      </c>
      <c r="K179">
        <v>2.8</v>
      </c>
    </row>
    <row r="180" spans="1:11" x14ac:dyDescent="0.2">
      <c r="A180" t="s">
        <v>0</v>
      </c>
      <c r="B180">
        <v>28</v>
      </c>
      <c r="C180" t="s">
        <v>1</v>
      </c>
      <c r="D180" t="s">
        <v>33</v>
      </c>
      <c r="E180" t="s">
        <v>45</v>
      </c>
      <c r="F180">
        <v>0</v>
      </c>
      <c r="G180">
        <v>1</v>
      </c>
      <c r="H180">
        <v>1</v>
      </c>
      <c r="I180">
        <v>1</v>
      </c>
      <c r="J180">
        <v>3</v>
      </c>
      <c r="K180">
        <v>1.35</v>
      </c>
    </row>
    <row r="181" spans="1:11" x14ac:dyDescent="0.2">
      <c r="A181" t="s">
        <v>0</v>
      </c>
      <c r="B181">
        <v>28</v>
      </c>
      <c r="C181" t="s">
        <v>18</v>
      </c>
      <c r="D181" t="s">
        <v>2</v>
      </c>
      <c r="E181" t="s">
        <v>54</v>
      </c>
      <c r="F181">
        <v>0</v>
      </c>
      <c r="G181">
        <v>0</v>
      </c>
      <c r="H181">
        <v>0</v>
      </c>
      <c r="I181">
        <v>1</v>
      </c>
      <c r="J181">
        <v>1</v>
      </c>
      <c r="K181">
        <v>0.1</v>
      </c>
    </row>
    <row r="182" spans="1:11" x14ac:dyDescent="0.2">
      <c r="A182" t="s">
        <v>0</v>
      </c>
      <c r="B182">
        <v>28</v>
      </c>
      <c r="C182" t="s">
        <v>18</v>
      </c>
      <c r="D182" t="s">
        <v>2</v>
      </c>
      <c r="E182" t="s">
        <v>57</v>
      </c>
      <c r="F182">
        <v>0</v>
      </c>
      <c r="G182">
        <v>0</v>
      </c>
      <c r="H182">
        <v>2</v>
      </c>
      <c r="I182">
        <v>0</v>
      </c>
      <c r="J182">
        <v>2</v>
      </c>
      <c r="K182">
        <v>1</v>
      </c>
    </row>
    <row r="183" spans="1:11" x14ac:dyDescent="0.2">
      <c r="A183" t="s">
        <v>0</v>
      </c>
      <c r="B183">
        <v>28</v>
      </c>
      <c r="C183" t="s">
        <v>18</v>
      </c>
      <c r="D183" t="s">
        <v>6</v>
      </c>
      <c r="E183" t="s">
        <v>57</v>
      </c>
      <c r="F183">
        <v>0</v>
      </c>
      <c r="G183">
        <v>0</v>
      </c>
      <c r="H183">
        <v>2</v>
      </c>
      <c r="I183">
        <v>0</v>
      </c>
      <c r="J183">
        <v>2</v>
      </c>
      <c r="K183">
        <v>1</v>
      </c>
    </row>
    <row r="184" spans="1:11" x14ac:dyDescent="0.2">
      <c r="A184" t="s">
        <v>0</v>
      </c>
      <c r="B184">
        <v>28</v>
      </c>
      <c r="C184" t="s">
        <v>23</v>
      </c>
      <c r="D184" t="s">
        <v>33</v>
      </c>
      <c r="E184" t="s">
        <v>34</v>
      </c>
      <c r="F184">
        <v>0</v>
      </c>
      <c r="G184">
        <v>2</v>
      </c>
      <c r="H184">
        <v>3</v>
      </c>
      <c r="I184">
        <v>1</v>
      </c>
      <c r="J184">
        <v>6</v>
      </c>
      <c r="K184">
        <v>3.4</v>
      </c>
    </row>
    <row r="185" spans="1:11" x14ac:dyDescent="0.2">
      <c r="A185" t="s">
        <v>0</v>
      </c>
      <c r="B185">
        <v>28</v>
      </c>
      <c r="C185" t="s">
        <v>23</v>
      </c>
      <c r="D185" t="s">
        <v>33</v>
      </c>
      <c r="E185" t="s">
        <v>40</v>
      </c>
      <c r="F185">
        <v>0</v>
      </c>
      <c r="G185">
        <v>1</v>
      </c>
      <c r="H185">
        <v>0</v>
      </c>
      <c r="I185">
        <v>0</v>
      </c>
      <c r="J185">
        <v>1</v>
      </c>
      <c r="K185">
        <v>0.75</v>
      </c>
    </row>
    <row r="186" spans="1:11" x14ac:dyDescent="0.2">
      <c r="A186" t="s">
        <v>0</v>
      </c>
      <c r="B186">
        <v>29</v>
      </c>
      <c r="C186" t="s">
        <v>4</v>
      </c>
      <c r="D186" t="s">
        <v>6</v>
      </c>
      <c r="E186" t="s">
        <v>45</v>
      </c>
      <c r="F186">
        <v>0</v>
      </c>
      <c r="G186">
        <v>0</v>
      </c>
      <c r="H186">
        <v>1</v>
      </c>
      <c r="I186">
        <v>0</v>
      </c>
      <c r="J186">
        <v>1</v>
      </c>
      <c r="K186">
        <v>0.5</v>
      </c>
    </row>
    <row r="187" spans="1:11" x14ac:dyDescent="0.2">
      <c r="A187" t="s">
        <v>0</v>
      </c>
      <c r="B187">
        <v>29</v>
      </c>
      <c r="C187" t="s">
        <v>4</v>
      </c>
      <c r="D187" t="s">
        <v>6</v>
      </c>
      <c r="E187" t="s">
        <v>10</v>
      </c>
      <c r="F187">
        <v>0</v>
      </c>
      <c r="G187">
        <v>1</v>
      </c>
      <c r="H187">
        <v>0</v>
      </c>
      <c r="I187">
        <v>0</v>
      </c>
      <c r="J187">
        <v>1</v>
      </c>
      <c r="K187">
        <v>0.75</v>
      </c>
    </row>
    <row r="188" spans="1:11" x14ac:dyDescent="0.2">
      <c r="A188" t="s">
        <v>0</v>
      </c>
      <c r="B188">
        <v>29</v>
      </c>
      <c r="C188" t="s">
        <v>1</v>
      </c>
      <c r="D188" t="s">
        <v>33</v>
      </c>
      <c r="E188" t="s">
        <v>45</v>
      </c>
      <c r="F188">
        <v>0</v>
      </c>
      <c r="G188">
        <v>0</v>
      </c>
      <c r="H188">
        <v>1</v>
      </c>
      <c r="I188">
        <v>0</v>
      </c>
      <c r="J188">
        <v>1</v>
      </c>
      <c r="K188">
        <v>0.5</v>
      </c>
    </row>
    <row r="189" spans="1:11" x14ac:dyDescent="0.2">
      <c r="A189" t="s">
        <v>0</v>
      </c>
      <c r="B189">
        <v>29</v>
      </c>
      <c r="C189" t="s">
        <v>15</v>
      </c>
      <c r="D189" t="s">
        <v>2</v>
      </c>
      <c r="E189" t="s">
        <v>46</v>
      </c>
      <c r="F189">
        <v>1</v>
      </c>
      <c r="G189">
        <v>0</v>
      </c>
      <c r="H189">
        <v>0</v>
      </c>
      <c r="I189">
        <v>0</v>
      </c>
      <c r="J189">
        <v>1</v>
      </c>
      <c r="K189">
        <v>1</v>
      </c>
    </row>
    <row r="190" spans="1:11" x14ac:dyDescent="0.2">
      <c r="A190" t="s">
        <v>0</v>
      </c>
      <c r="B190">
        <v>29</v>
      </c>
      <c r="C190" t="s">
        <v>18</v>
      </c>
      <c r="D190" t="s">
        <v>2</v>
      </c>
      <c r="E190" t="s">
        <v>57</v>
      </c>
      <c r="F190">
        <v>0</v>
      </c>
      <c r="G190">
        <v>0</v>
      </c>
      <c r="H190">
        <v>1</v>
      </c>
      <c r="I190">
        <v>0</v>
      </c>
      <c r="J190">
        <v>1</v>
      </c>
      <c r="K190">
        <v>0.5</v>
      </c>
    </row>
    <row r="191" spans="1:11" x14ac:dyDescent="0.2">
      <c r="A191" t="s">
        <v>0</v>
      </c>
      <c r="B191">
        <v>29</v>
      </c>
      <c r="C191" t="s">
        <v>18</v>
      </c>
      <c r="D191" t="s">
        <v>6</v>
      </c>
      <c r="E191" t="s">
        <v>57</v>
      </c>
      <c r="F191">
        <v>0</v>
      </c>
      <c r="G191">
        <v>0</v>
      </c>
      <c r="H191">
        <v>1</v>
      </c>
      <c r="I191">
        <v>0</v>
      </c>
      <c r="J191">
        <v>1</v>
      </c>
      <c r="K191">
        <v>0.5</v>
      </c>
    </row>
    <row r="192" spans="1:11" x14ac:dyDescent="0.2">
      <c r="A192" t="s">
        <v>0</v>
      </c>
      <c r="B192">
        <v>29</v>
      </c>
      <c r="C192" t="s">
        <v>23</v>
      </c>
      <c r="D192" t="s">
        <v>2</v>
      </c>
      <c r="E192" t="s">
        <v>10</v>
      </c>
      <c r="F192">
        <v>0</v>
      </c>
      <c r="G192">
        <v>1</v>
      </c>
      <c r="H192">
        <v>0</v>
      </c>
      <c r="I192">
        <v>0</v>
      </c>
      <c r="J192">
        <v>1</v>
      </c>
      <c r="K192">
        <v>0.75</v>
      </c>
    </row>
    <row r="193" spans="1:11" x14ac:dyDescent="0.2">
      <c r="A193" t="s">
        <v>0</v>
      </c>
      <c r="B193">
        <v>29</v>
      </c>
      <c r="C193" t="s">
        <v>23</v>
      </c>
      <c r="D193" t="s">
        <v>6</v>
      </c>
      <c r="E193" t="s">
        <v>25</v>
      </c>
      <c r="F193">
        <v>0</v>
      </c>
      <c r="G193">
        <v>1</v>
      </c>
      <c r="H193">
        <v>0</v>
      </c>
      <c r="I193">
        <v>0</v>
      </c>
      <c r="J193">
        <v>1</v>
      </c>
      <c r="K193">
        <v>0.75</v>
      </c>
    </row>
    <row r="194" spans="1:11" x14ac:dyDescent="0.2">
      <c r="A194" t="s">
        <v>0</v>
      </c>
      <c r="B194">
        <v>29</v>
      </c>
      <c r="C194" t="s">
        <v>27</v>
      </c>
      <c r="D194" t="s">
        <v>6</v>
      </c>
      <c r="E194" t="s">
        <v>28</v>
      </c>
      <c r="F194">
        <v>0</v>
      </c>
      <c r="G194">
        <v>1</v>
      </c>
      <c r="H194">
        <v>0</v>
      </c>
      <c r="I194">
        <v>0</v>
      </c>
      <c r="J194">
        <v>1</v>
      </c>
      <c r="K194">
        <v>0.75</v>
      </c>
    </row>
    <row r="195" spans="1:11" x14ac:dyDescent="0.2">
      <c r="A195" t="s">
        <v>0</v>
      </c>
      <c r="B195">
        <v>30</v>
      </c>
      <c r="C195" t="s">
        <v>4</v>
      </c>
      <c r="D195" t="s">
        <v>2</v>
      </c>
      <c r="E195" t="s">
        <v>7</v>
      </c>
      <c r="F195">
        <v>0</v>
      </c>
      <c r="G195">
        <v>1</v>
      </c>
      <c r="H195">
        <v>0</v>
      </c>
      <c r="I195">
        <v>0</v>
      </c>
      <c r="J195">
        <v>1</v>
      </c>
      <c r="K195">
        <v>0.75</v>
      </c>
    </row>
    <row r="196" spans="1:11" x14ac:dyDescent="0.2">
      <c r="A196" t="s">
        <v>0</v>
      </c>
      <c r="B196">
        <v>30</v>
      </c>
      <c r="C196" t="s">
        <v>4</v>
      </c>
      <c r="D196" t="s">
        <v>33</v>
      </c>
      <c r="E196" t="s">
        <v>65</v>
      </c>
      <c r="F196">
        <v>1</v>
      </c>
      <c r="G196">
        <v>0</v>
      </c>
      <c r="H196">
        <v>0</v>
      </c>
      <c r="I196">
        <v>0</v>
      </c>
      <c r="J196">
        <v>1</v>
      </c>
      <c r="K196">
        <v>1</v>
      </c>
    </row>
    <row r="197" spans="1:11" x14ac:dyDescent="0.2">
      <c r="A197" t="s">
        <v>0</v>
      </c>
      <c r="B197">
        <v>30</v>
      </c>
      <c r="C197" t="s">
        <v>11</v>
      </c>
      <c r="D197" t="s">
        <v>2</v>
      </c>
      <c r="E197" t="s">
        <v>66</v>
      </c>
      <c r="F197">
        <v>0</v>
      </c>
      <c r="G197">
        <v>0</v>
      </c>
      <c r="H197">
        <v>1</v>
      </c>
      <c r="I197">
        <v>0</v>
      </c>
      <c r="J197">
        <v>1</v>
      </c>
      <c r="K197">
        <v>0.5</v>
      </c>
    </row>
    <row r="198" spans="1:11" x14ac:dyDescent="0.2">
      <c r="A198" t="s">
        <v>0</v>
      </c>
      <c r="B198">
        <v>30</v>
      </c>
      <c r="C198" t="s">
        <v>11</v>
      </c>
      <c r="D198" t="s">
        <v>2</v>
      </c>
      <c r="E198" t="s">
        <v>30</v>
      </c>
      <c r="F198">
        <v>1</v>
      </c>
      <c r="G198">
        <v>0</v>
      </c>
      <c r="H198">
        <v>1</v>
      </c>
      <c r="I198">
        <v>0</v>
      </c>
      <c r="J198">
        <v>2</v>
      </c>
      <c r="K198">
        <v>1.5</v>
      </c>
    </row>
    <row r="199" spans="1:11" x14ac:dyDescent="0.2">
      <c r="A199" t="s">
        <v>0</v>
      </c>
      <c r="B199">
        <v>30</v>
      </c>
      <c r="C199" t="s">
        <v>15</v>
      </c>
      <c r="D199" t="s">
        <v>2</v>
      </c>
      <c r="E199" t="s">
        <v>66</v>
      </c>
      <c r="F199">
        <v>0</v>
      </c>
      <c r="G199">
        <v>0</v>
      </c>
      <c r="H199">
        <v>1</v>
      </c>
      <c r="I199">
        <v>0</v>
      </c>
      <c r="J199">
        <v>1</v>
      </c>
      <c r="K199">
        <v>0.5</v>
      </c>
    </row>
    <row r="200" spans="1:11" x14ac:dyDescent="0.2">
      <c r="A200" t="s">
        <v>0</v>
      </c>
      <c r="B200">
        <v>30</v>
      </c>
      <c r="C200" t="s">
        <v>15</v>
      </c>
      <c r="D200" t="s">
        <v>33</v>
      </c>
      <c r="E200" t="s">
        <v>67</v>
      </c>
      <c r="F200">
        <v>0</v>
      </c>
      <c r="G200">
        <v>1</v>
      </c>
      <c r="H200">
        <v>0</v>
      </c>
      <c r="I200">
        <v>0</v>
      </c>
      <c r="J200">
        <v>1</v>
      </c>
      <c r="K200">
        <v>0.75</v>
      </c>
    </row>
    <row r="201" spans="1:11" x14ac:dyDescent="0.2">
      <c r="A201" t="s">
        <v>0</v>
      </c>
      <c r="B201">
        <v>30</v>
      </c>
      <c r="C201" t="s">
        <v>18</v>
      </c>
      <c r="D201" t="s">
        <v>2</v>
      </c>
      <c r="E201" t="s">
        <v>21</v>
      </c>
      <c r="F201">
        <v>0</v>
      </c>
      <c r="G201">
        <v>0</v>
      </c>
      <c r="H201">
        <v>0</v>
      </c>
      <c r="I201">
        <v>1</v>
      </c>
      <c r="J201">
        <v>1</v>
      </c>
      <c r="K201">
        <v>0.1</v>
      </c>
    </row>
    <row r="202" spans="1:11" x14ac:dyDescent="0.2">
      <c r="A202" t="s">
        <v>0</v>
      </c>
      <c r="B202">
        <v>30</v>
      </c>
      <c r="C202" t="s">
        <v>18</v>
      </c>
      <c r="D202" t="s">
        <v>2</v>
      </c>
      <c r="E202" t="s">
        <v>54</v>
      </c>
      <c r="F202">
        <v>0</v>
      </c>
      <c r="G202">
        <v>0</v>
      </c>
      <c r="H202">
        <v>0</v>
      </c>
      <c r="I202">
        <v>1</v>
      </c>
      <c r="J202">
        <v>1</v>
      </c>
      <c r="K202">
        <v>0.1</v>
      </c>
    </row>
    <row r="203" spans="1:11" x14ac:dyDescent="0.2">
      <c r="A203" t="s">
        <v>0</v>
      </c>
      <c r="B203">
        <v>30</v>
      </c>
      <c r="C203" t="s">
        <v>18</v>
      </c>
      <c r="D203" t="s">
        <v>2</v>
      </c>
      <c r="E203" t="s">
        <v>57</v>
      </c>
      <c r="F203">
        <v>1</v>
      </c>
      <c r="G203">
        <v>0</v>
      </c>
      <c r="H203">
        <v>0</v>
      </c>
      <c r="I203">
        <v>0</v>
      </c>
      <c r="J203">
        <v>1</v>
      </c>
      <c r="K203">
        <v>1</v>
      </c>
    </row>
    <row r="204" spans="1:11" x14ac:dyDescent="0.2">
      <c r="A204" t="s">
        <v>0</v>
      </c>
      <c r="B204">
        <v>30</v>
      </c>
      <c r="C204" t="s">
        <v>18</v>
      </c>
      <c r="D204" t="s">
        <v>6</v>
      </c>
      <c r="E204" t="s">
        <v>57</v>
      </c>
      <c r="F204">
        <v>1</v>
      </c>
      <c r="G204">
        <v>0</v>
      </c>
      <c r="H204">
        <v>0</v>
      </c>
      <c r="I204">
        <v>0</v>
      </c>
      <c r="J204">
        <v>1</v>
      </c>
      <c r="K204">
        <v>1</v>
      </c>
    </row>
    <row r="205" spans="1:11" x14ac:dyDescent="0.2">
      <c r="A205" t="s">
        <v>0</v>
      </c>
      <c r="B205">
        <v>30</v>
      </c>
      <c r="C205" t="s">
        <v>23</v>
      </c>
      <c r="D205" t="s">
        <v>2</v>
      </c>
      <c r="E205" t="s">
        <v>58</v>
      </c>
      <c r="F205">
        <v>0</v>
      </c>
      <c r="G205">
        <v>0</v>
      </c>
      <c r="H205">
        <v>0</v>
      </c>
      <c r="I205">
        <v>1</v>
      </c>
      <c r="J205">
        <v>1</v>
      </c>
      <c r="K205">
        <v>0.1</v>
      </c>
    </row>
    <row r="206" spans="1:11" x14ac:dyDescent="0.2">
      <c r="A206" t="s">
        <v>0</v>
      </c>
      <c r="B206">
        <v>31</v>
      </c>
      <c r="C206" t="s">
        <v>4</v>
      </c>
      <c r="D206" t="s">
        <v>6</v>
      </c>
      <c r="E206" t="s">
        <v>45</v>
      </c>
      <c r="F206">
        <v>0</v>
      </c>
      <c r="G206">
        <v>0</v>
      </c>
      <c r="H206">
        <v>0</v>
      </c>
      <c r="I206">
        <v>1</v>
      </c>
      <c r="J206">
        <v>1</v>
      </c>
      <c r="K206">
        <v>0.1</v>
      </c>
    </row>
    <row r="207" spans="1:11" x14ac:dyDescent="0.2">
      <c r="A207" t="s">
        <v>0</v>
      </c>
      <c r="B207">
        <v>31</v>
      </c>
      <c r="C207" t="s">
        <v>4</v>
      </c>
      <c r="D207" t="s">
        <v>2</v>
      </c>
      <c r="E207" t="s">
        <v>48</v>
      </c>
      <c r="F207">
        <v>1</v>
      </c>
      <c r="G207">
        <v>0</v>
      </c>
      <c r="H207">
        <v>0</v>
      </c>
      <c r="I207">
        <v>0</v>
      </c>
      <c r="J207">
        <v>1</v>
      </c>
      <c r="K207">
        <v>1</v>
      </c>
    </row>
    <row r="208" spans="1:11" x14ac:dyDescent="0.2">
      <c r="A208" t="s">
        <v>0</v>
      </c>
      <c r="B208">
        <v>31</v>
      </c>
      <c r="C208" t="s">
        <v>4</v>
      </c>
      <c r="D208" t="s">
        <v>2</v>
      </c>
      <c r="E208" t="s">
        <v>7</v>
      </c>
      <c r="F208">
        <v>0</v>
      </c>
      <c r="G208">
        <v>1</v>
      </c>
      <c r="H208">
        <v>0</v>
      </c>
      <c r="I208">
        <v>0</v>
      </c>
      <c r="J208">
        <v>1</v>
      </c>
      <c r="K208">
        <v>0.75</v>
      </c>
    </row>
    <row r="209" spans="1:11" x14ac:dyDescent="0.2">
      <c r="A209" t="s">
        <v>0</v>
      </c>
      <c r="B209">
        <v>31</v>
      </c>
      <c r="C209" t="s">
        <v>4</v>
      </c>
      <c r="D209" t="s">
        <v>2</v>
      </c>
      <c r="E209" t="s">
        <v>53</v>
      </c>
      <c r="F209">
        <v>0</v>
      </c>
      <c r="G209">
        <v>0</v>
      </c>
      <c r="H209">
        <v>0</v>
      </c>
      <c r="I209">
        <v>1</v>
      </c>
      <c r="J209">
        <v>1</v>
      </c>
      <c r="K209">
        <v>0.1</v>
      </c>
    </row>
    <row r="210" spans="1:11" x14ac:dyDescent="0.2">
      <c r="A210" t="s">
        <v>0</v>
      </c>
      <c r="B210">
        <v>31</v>
      </c>
      <c r="C210" t="s">
        <v>11</v>
      </c>
      <c r="D210" t="s">
        <v>2</v>
      </c>
      <c r="E210" t="s">
        <v>66</v>
      </c>
      <c r="F210">
        <v>0</v>
      </c>
      <c r="G210">
        <v>0</v>
      </c>
      <c r="H210">
        <v>1</v>
      </c>
      <c r="I210">
        <v>0</v>
      </c>
      <c r="J210">
        <v>1</v>
      </c>
      <c r="K210">
        <v>0.5</v>
      </c>
    </row>
    <row r="211" spans="1:11" x14ac:dyDescent="0.2">
      <c r="A211" t="s">
        <v>0</v>
      </c>
      <c r="B211">
        <v>31</v>
      </c>
      <c r="C211" t="s">
        <v>1</v>
      </c>
      <c r="D211" t="s">
        <v>33</v>
      </c>
      <c r="E211" t="s">
        <v>45</v>
      </c>
      <c r="F211">
        <v>0</v>
      </c>
      <c r="G211">
        <v>0</v>
      </c>
      <c r="H211">
        <v>0</v>
      </c>
      <c r="I211">
        <v>1</v>
      </c>
      <c r="J211">
        <v>1</v>
      </c>
      <c r="K211">
        <v>0.1</v>
      </c>
    </row>
    <row r="212" spans="1:11" x14ac:dyDescent="0.2">
      <c r="A212" t="s">
        <v>0</v>
      </c>
      <c r="B212">
        <v>31</v>
      </c>
      <c r="C212" t="s">
        <v>1</v>
      </c>
      <c r="D212" t="s">
        <v>2</v>
      </c>
      <c r="E212" t="s">
        <v>48</v>
      </c>
      <c r="F212">
        <v>1</v>
      </c>
      <c r="G212">
        <v>0</v>
      </c>
      <c r="H212">
        <v>0</v>
      </c>
      <c r="I212">
        <v>0</v>
      </c>
      <c r="J212">
        <v>1</v>
      </c>
      <c r="K212">
        <v>1</v>
      </c>
    </row>
    <row r="213" spans="1:11" x14ac:dyDescent="0.2">
      <c r="A213" t="s">
        <v>0</v>
      </c>
      <c r="B213">
        <v>31</v>
      </c>
      <c r="C213" t="s">
        <v>15</v>
      </c>
      <c r="D213" t="s">
        <v>2</v>
      </c>
      <c r="E213" t="s">
        <v>66</v>
      </c>
      <c r="F213">
        <v>0</v>
      </c>
      <c r="G213">
        <v>0</v>
      </c>
      <c r="H213">
        <v>1</v>
      </c>
      <c r="I213">
        <v>0</v>
      </c>
      <c r="J213">
        <v>1</v>
      </c>
      <c r="K213">
        <v>0.5</v>
      </c>
    </row>
    <row r="214" spans="1:11" x14ac:dyDescent="0.2">
      <c r="A214" t="s">
        <v>0</v>
      </c>
      <c r="B214">
        <v>31</v>
      </c>
      <c r="C214" t="s">
        <v>15</v>
      </c>
      <c r="D214" t="s">
        <v>2</v>
      </c>
      <c r="E214" t="s">
        <v>48</v>
      </c>
      <c r="F214">
        <v>1</v>
      </c>
      <c r="G214">
        <v>0</v>
      </c>
      <c r="H214">
        <v>0</v>
      </c>
      <c r="I214">
        <v>0</v>
      </c>
      <c r="J214">
        <v>1</v>
      </c>
      <c r="K214">
        <v>1</v>
      </c>
    </row>
    <row r="215" spans="1:11" x14ac:dyDescent="0.2">
      <c r="A215" t="s">
        <v>0</v>
      </c>
      <c r="B215">
        <v>31</v>
      </c>
      <c r="C215" t="s">
        <v>15</v>
      </c>
      <c r="D215" t="s">
        <v>2</v>
      </c>
      <c r="E215" t="s">
        <v>68</v>
      </c>
      <c r="F215">
        <v>0</v>
      </c>
      <c r="G215">
        <v>0</v>
      </c>
      <c r="H215">
        <v>2</v>
      </c>
      <c r="I215">
        <v>0</v>
      </c>
      <c r="J215">
        <v>2</v>
      </c>
      <c r="K215">
        <v>1</v>
      </c>
    </row>
    <row r="216" spans="1:11" x14ac:dyDescent="0.2">
      <c r="A216" t="s">
        <v>0</v>
      </c>
      <c r="B216">
        <v>31</v>
      </c>
      <c r="C216" t="s">
        <v>18</v>
      </c>
      <c r="D216" t="s">
        <v>6</v>
      </c>
      <c r="E216" t="s">
        <v>39</v>
      </c>
      <c r="F216">
        <v>0</v>
      </c>
      <c r="G216">
        <v>0</v>
      </c>
      <c r="H216">
        <v>6</v>
      </c>
      <c r="I216">
        <v>3</v>
      </c>
      <c r="J216">
        <v>9</v>
      </c>
      <c r="K216">
        <v>3.3</v>
      </c>
    </row>
    <row r="217" spans="1:11" x14ac:dyDescent="0.2">
      <c r="A217" t="s">
        <v>0</v>
      </c>
      <c r="B217">
        <v>31</v>
      </c>
      <c r="C217" t="s">
        <v>23</v>
      </c>
      <c r="D217" t="s">
        <v>2</v>
      </c>
      <c r="E217" t="s">
        <v>48</v>
      </c>
      <c r="F217">
        <v>1</v>
      </c>
      <c r="G217">
        <v>0</v>
      </c>
      <c r="H217">
        <v>0</v>
      </c>
      <c r="I217">
        <v>0</v>
      </c>
      <c r="J217">
        <v>1</v>
      </c>
      <c r="K217">
        <v>1</v>
      </c>
    </row>
    <row r="218" spans="1:11" x14ac:dyDescent="0.2">
      <c r="A218" t="s">
        <v>0</v>
      </c>
      <c r="B218">
        <v>31</v>
      </c>
      <c r="C218" t="s">
        <v>23</v>
      </c>
      <c r="D218" t="s">
        <v>2</v>
      </c>
      <c r="E218" t="s">
        <v>35</v>
      </c>
      <c r="F218">
        <v>0</v>
      </c>
      <c r="G218">
        <v>0</v>
      </c>
      <c r="H218">
        <v>0</v>
      </c>
      <c r="I218">
        <v>2</v>
      </c>
      <c r="J218">
        <v>2</v>
      </c>
      <c r="K218">
        <v>0.2</v>
      </c>
    </row>
    <row r="219" spans="1:11" x14ac:dyDescent="0.2">
      <c r="A219" t="s">
        <v>0</v>
      </c>
      <c r="B219">
        <v>32</v>
      </c>
      <c r="C219" t="s">
        <v>4</v>
      </c>
      <c r="D219" t="s">
        <v>6</v>
      </c>
      <c r="E219" t="s">
        <v>45</v>
      </c>
      <c r="F219">
        <v>0</v>
      </c>
      <c r="G219">
        <v>0</v>
      </c>
      <c r="H219">
        <v>0</v>
      </c>
      <c r="I219">
        <v>1</v>
      </c>
      <c r="J219">
        <v>1</v>
      </c>
      <c r="K219">
        <v>0.1</v>
      </c>
    </row>
    <row r="220" spans="1:11" x14ac:dyDescent="0.2">
      <c r="A220" t="s">
        <v>0</v>
      </c>
      <c r="B220">
        <v>32</v>
      </c>
      <c r="C220" t="s">
        <v>1</v>
      </c>
      <c r="D220" t="s">
        <v>33</v>
      </c>
      <c r="E220" t="s">
        <v>45</v>
      </c>
      <c r="F220">
        <v>0</v>
      </c>
      <c r="G220">
        <v>0</v>
      </c>
      <c r="H220">
        <v>0</v>
      </c>
      <c r="I220">
        <v>1</v>
      </c>
      <c r="J220">
        <v>1</v>
      </c>
      <c r="K220">
        <v>0.1</v>
      </c>
    </row>
    <row r="221" spans="1:11" x14ac:dyDescent="0.2">
      <c r="A221" t="s">
        <v>0</v>
      </c>
      <c r="B221">
        <v>32</v>
      </c>
      <c r="C221" t="s">
        <v>15</v>
      </c>
      <c r="D221" t="s">
        <v>2</v>
      </c>
      <c r="E221" t="s">
        <v>16</v>
      </c>
      <c r="F221">
        <v>0</v>
      </c>
      <c r="G221">
        <v>1</v>
      </c>
      <c r="H221">
        <v>0</v>
      </c>
      <c r="I221">
        <v>0</v>
      </c>
      <c r="J221">
        <v>1</v>
      </c>
      <c r="K221">
        <v>0.75</v>
      </c>
    </row>
    <row r="222" spans="1:11" x14ac:dyDescent="0.2">
      <c r="A222" t="s">
        <v>0</v>
      </c>
      <c r="B222">
        <v>32</v>
      </c>
      <c r="C222" t="s">
        <v>18</v>
      </c>
      <c r="D222" t="s">
        <v>6</v>
      </c>
      <c r="E222" t="s">
        <v>19</v>
      </c>
      <c r="F222">
        <v>1</v>
      </c>
      <c r="G222">
        <v>0</v>
      </c>
      <c r="H222">
        <v>0</v>
      </c>
      <c r="I222">
        <v>0</v>
      </c>
      <c r="J222">
        <v>1</v>
      </c>
      <c r="K222">
        <v>1</v>
      </c>
    </row>
    <row r="223" spans="1:11" x14ac:dyDescent="0.2">
      <c r="A223" t="s">
        <v>0</v>
      </c>
      <c r="B223">
        <v>32</v>
      </c>
      <c r="C223" t="s">
        <v>18</v>
      </c>
      <c r="D223" t="s">
        <v>6</v>
      </c>
      <c r="E223" t="s">
        <v>39</v>
      </c>
      <c r="F223">
        <v>0</v>
      </c>
      <c r="G223">
        <v>0</v>
      </c>
      <c r="H223">
        <v>1</v>
      </c>
      <c r="I223">
        <v>3</v>
      </c>
      <c r="J223">
        <v>4</v>
      </c>
      <c r="K223">
        <v>0.8</v>
      </c>
    </row>
    <row r="224" spans="1:11" x14ac:dyDescent="0.2">
      <c r="A224" t="s">
        <v>0</v>
      </c>
      <c r="B224">
        <v>33</v>
      </c>
      <c r="C224" t="s">
        <v>4</v>
      </c>
      <c r="D224" t="s">
        <v>6</v>
      </c>
      <c r="E224" t="s">
        <v>45</v>
      </c>
      <c r="F224">
        <v>0</v>
      </c>
      <c r="G224">
        <v>1</v>
      </c>
      <c r="H224">
        <v>0</v>
      </c>
      <c r="I224">
        <v>0</v>
      </c>
      <c r="J224">
        <v>1</v>
      </c>
      <c r="K224">
        <v>0.75</v>
      </c>
    </row>
    <row r="225" spans="1:11" x14ac:dyDescent="0.2">
      <c r="A225" t="s">
        <v>0</v>
      </c>
      <c r="B225">
        <v>33</v>
      </c>
      <c r="C225" t="s">
        <v>4</v>
      </c>
      <c r="D225" t="s">
        <v>2</v>
      </c>
      <c r="E225" t="s">
        <v>7</v>
      </c>
      <c r="F225">
        <v>0</v>
      </c>
      <c r="G225">
        <v>1</v>
      </c>
      <c r="H225">
        <v>0</v>
      </c>
      <c r="I225">
        <v>0</v>
      </c>
      <c r="J225">
        <v>1</v>
      </c>
      <c r="K225">
        <v>0.75</v>
      </c>
    </row>
    <row r="226" spans="1:11" x14ac:dyDescent="0.2">
      <c r="A226" t="s">
        <v>0</v>
      </c>
      <c r="B226">
        <v>33</v>
      </c>
      <c r="C226" t="s">
        <v>1</v>
      </c>
      <c r="D226" t="s">
        <v>33</v>
      </c>
      <c r="E226" t="s">
        <v>45</v>
      </c>
      <c r="F226">
        <v>0</v>
      </c>
      <c r="G226">
        <v>1</v>
      </c>
      <c r="H226">
        <v>0</v>
      </c>
      <c r="I226">
        <v>0</v>
      </c>
      <c r="J226">
        <v>1</v>
      </c>
      <c r="K226">
        <v>0.75</v>
      </c>
    </row>
    <row r="227" spans="1:11" x14ac:dyDescent="0.2">
      <c r="A227" t="s">
        <v>0</v>
      </c>
      <c r="B227">
        <v>34</v>
      </c>
      <c r="C227" t="s">
        <v>4</v>
      </c>
      <c r="D227" t="s">
        <v>33</v>
      </c>
      <c r="E227" t="s">
        <v>69</v>
      </c>
      <c r="F227">
        <v>0</v>
      </c>
      <c r="G227">
        <v>0</v>
      </c>
      <c r="H227">
        <v>1</v>
      </c>
      <c r="I227">
        <v>0</v>
      </c>
      <c r="J227">
        <v>1</v>
      </c>
      <c r="K227">
        <v>0.5</v>
      </c>
    </row>
    <row r="228" spans="1:11" x14ac:dyDescent="0.2">
      <c r="A228" t="s">
        <v>0</v>
      </c>
      <c r="B228">
        <v>34</v>
      </c>
      <c r="C228" t="s">
        <v>4</v>
      </c>
      <c r="D228" t="s">
        <v>2</v>
      </c>
      <c r="E228" t="s">
        <v>7</v>
      </c>
      <c r="F228">
        <v>0</v>
      </c>
      <c r="G228">
        <v>1</v>
      </c>
      <c r="H228">
        <v>0</v>
      </c>
      <c r="I228">
        <v>0</v>
      </c>
      <c r="J228">
        <v>1</v>
      </c>
      <c r="K228">
        <v>0.75</v>
      </c>
    </row>
    <row r="229" spans="1:11" x14ac:dyDescent="0.2">
      <c r="A229" t="s">
        <v>0</v>
      </c>
      <c r="B229">
        <v>34</v>
      </c>
      <c r="C229" t="s">
        <v>4</v>
      </c>
      <c r="D229" t="s">
        <v>2</v>
      </c>
      <c r="E229" t="s">
        <v>70</v>
      </c>
      <c r="F229">
        <v>2</v>
      </c>
      <c r="G229">
        <v>0</v>
      </c>
      <c r="H229">
        <v>0</v>
      </c>
      <c r="I229">
        <v>0</v>
      </c>
      <c r="J229">
        <v>2</v>
      </c>
      <c r="K229">
        <v>2</v>
      </c>
    </row>
    <row r="230" spans="1:11" x14ac:dyDescent="0.2">
      <c r="A230" t="s">
        <v>0</v>
      </c>
      <c r="B230">
        <v>34</v>
      </c>
      <c r="C230" t="s">
        <v>4</v>
      </c>
      <c r="D230" t="s">
        <v>2</v>
      </c>
      <c r="E230" t="s">
        <v>9</v>
      </c>
      <c r="F230">
        <v>1</v>
      </c>
      <c r="G230">
        <v>0</v>
      </c>
      <c r="H230">
        <v>0</v>
      </c>
      <c r="I230">
        <v>0</v>
      </c>
      <c r="J230">
        <v>1</v>
      </c>
      <c r="K230">
        <v>1</v>
      </c>
    </row>
    <row r="231" spans="1:11" x14ac:dyDescent="0.2">
      <c r="A231" t="s">
        <v>0</v>
      </c>
      <c r="B231">
        <v>34</v>
      </c>
      <c r="C231" t="s">
        <v>4</v>
      </c>
      <c r="D231" t="s">
        <v>2</v>
      </c>
      <c r="E231" t="s">
        <v>32</v>
      </c>
      <c r="F231">
        <v>2</v>
      </c>
      <c r="G231">
        <v>1</v>
      </c>
      <c r="H231">
        <v>0</v>
      </c>
      <c r="I231">
        <v>1</v>
      </c>
      <c r="J231">
        <v>4</v>
      </c>
      <c r="K231">
        <v>2.85</v>
      </c>
    </row>
    <row r="232" spans="1:11" x14ac:dyDescent="0.2">
      <c r="A232" t="s">
        <v>0</v>
      </c>
      <c r="B232">
        <v>34</v>
      </c>
      <c r="C232" t="s">
        <v>18</v>
      </c>
      <c r="D232" t="s">
        <v>2</v>
      </c>
      <c r="E232" t="s">
        <v>57</v>
      </c>
      <c r="F232">
        <v>3</v>
      </c>
      <c r="G232">
        <v>0</v>
      </c>
      <c r="H232">
        <v>1</v>
      </c>
      <c r="I232">
        <v>0</v>
      </c>
      <c r="J232">
        <v>4</v>
      </c>
      <c r="K232">
        <v>3.5</v>
      </c>
    </row>
    <row r="233" spans="1:11" x14ac:dyDescent="0.2">
      <c r="A233" t="s">
        <v>0</v>
      </c>
      <c r="B233">
        <v>34</v>
      </c>
      <c r="C233" t="s">
        <v>18</v>
      </c>
      <c r="D233" t="s">
        <v>6</v>
      </c>
      <c r="E233" t="s">
        <v>57</v>
      </c>
      <c r="F233">
        <v>3</v>
      </c>
      <c r="G233">
        <v>0</v>
      </c>
      <c r="H233">
        <v>1</v>
      </c>
      <c r="I233">
        <v>0</v>
      </c>
      <c r="J233">
        <v>4</v>
      </c>
      <c r="K233">
        <v>3.5</v>
      </c>
    </row>
    <row r="234" spans="1:11" x14ac:dyDescent="0.2">
      <c r="A234" t="s">
        <v>0</v>
      </c>
      <c r="B234">
        <v>34</v>
      </c>
      <c r="C234" t="s">
        <v>23</v>
      </c>
      <c r="D234" t="s">
        <v>33</v>
      </c>
      <c r="E234" t="s">
        <v>34</v>
      </c>
      <c r="F234">
        <v>0</v>
      </c>
      <c r="G234">
        <v>3</v>
      </c>
      <c r="H234">
        <v>0</v>
      </c>
      <c r="I234">
        <v>1</v>
      </c>
      <c r="J234">
        <v>4</v>
      </c>
      <c r="K234">
        <v>2.35</v>
      </c>
    </row>
    <row r="235" spans="1:11" x14ac:dyDescent="0.2">
      <c r="A235" t="s">
        <v>0</v>
      </c>
      <c r="B235">
        <v>34</v>
      </c>
      <c r="C235" t="s">
        <v>23</v>
      </c>
      <c r="D235" t="s">
        <v>2</v>
      </c>
      <c r="E235" t="s">
        <v>35</v>
      </c>
      <c r="F235">
        <v>0</v>
      </c>
      <c r="G235">
        <v>0</v>
      </c>
      <c r="H235">
        <v>0</v>
      </c>
      <c r="I235">
        <v>2</v>
      </c>
      <c r="J235">
        <v>2</v>
      </c>
      <c r="K235">
        <v>0.2</v>
      </c>
    </row>
    <row r="236" spans="1:11" x14ac:dyDescent="0.2">
      <c r="A236" t="s">
        <v>0</v>
      </c>
      <c r="B236">
        <v>35</v>
      </c>
      <c r="C236" t="s">
        <v>4</v>
      </c>
      <c r="D236" t="s">
        <v>2</v>
      </c>
      <c r="E236" t="s">
        <v>32</v>
      </c>
      <c r="F236">
        <v>1</v>
      </c>
      <c r="G236">
        <v>0</v>
      </c>
      <c r="H236">
        <v>0</v>
      </c>
      <c r="I236">
        <v>0</v>
      </c>
      <c r="J236">
        <v>1</v>
      </c>
      <c r="K236">
        <v>1</v>
      </c>
    </row>
    <row r="237" spans="1:11" x14ac:dyDescent="0.2">
      <c r="A237" t="s">
        <v>0</v>
      </c>
      <c r="B237">
        <v>35</v>
      </c>
      <c r="C237" t="s">
        <v>11</v>
      </c>
      <c r="D237" t="s">
        <v>2</v>
      </c>
      <c r="E237" t="s">
        <v>52</v>
      </c>
      <c r="F237">
        <v>0</v>
      </c>
      <c r="G237">
        <v>1</v>
      </c>
      <c r="H237">
        <v>0</v>
      </c>
      <c r="I237">
        <v>0</v>
      </c>
      <c r="J237">
        <v>1</v>
      </c>
      <c r="K237">
        <v>0.75</v>
      </c>
    </row>
    <row r="238" spans="1:11" x14ac:dyDescent="0.2">
      <c r="A238" t="s">
        <v>0</v>
      </c>
      <c r="B238">
        <v>35</v>
      </c>
      <c r="C238" t="s">
        <v>11</v>
      </c>
      <c r="D238" t="s">
        <v>2</v>
      </c>
      <c r="E238" t="s">
        <v>62</v>
      </c>
      <c r="F238">
        <v>0</v>
      </c>
      <c r="G238">
        <v>0</v>
      </c>
      <c r="H238">
        <v>1</v>
      </c>
      <c r="I238">
        <v>1</v>
      </c>
      <c r="J238">
        <v>2</v>
      </c>
      <c r="K238">
        <v>0.6</v>
      </c>
    </row>
    <row r="239" spans="1:11" x14ac:dyDescent="0.2">
      <c r="A239" t="s">
        <v>0</v>
      </c>
      <c r="B239">
        <v>35</v>
      </c>
      <c r="C239" t="s">
        <v>11</v>
      </c>
      <c r="D239" t="s">
        <v>63</v>
      </c>
      <c r="E239" t="s">
        <v>64</v>
      </c>
      <c r="F239">
        <v>1</v>
      </c>
      <c r="G239">
        <v>0</v>
      </c>
      <c r="H239">
        <v>1</v>
      </c>
      <c r="I239">
        <v>0</v>
      </c>
      <c r="J239">
        <v>2</v>
      </c>
      <c r="K239">
        <v>1.5</v>
      </c>
    </row>
    <row r="240" spans="1:11" x14ac:dyDescent="0.2">
      <c r="A240" t="s">
        <v>0</v>
      </c>
      <c r="B240">
        <v>35</v>
      </c>
      <c r="C240" t="s">
        <v>15</v>
      </c>
      <c r="D240" t="s">
        <v>2</v>
      </c>
      <c r="E240" t="s">
        <v>16</v>
      </c>
      <c r="F240">
        <v>0</v>
      </c>
      <c r="G240">
        <v>0</v>
      </c>
      <c r="H240">
        <v>0</v>
      </c>
      <c r="I240">
        <v>2</v>
      </c>
      <c r="J240">
        <v>2</v>
      </c>
      <c r="K240">
        <v>0.2</v>
      </c>
    </row>
    <row r="241" spans="1:11" x14ac:dyDescent="0.2">
      <c r="A241" t="s">
        <v>0</v>
      </c>
      <c r="B241">
        <v>35</v>
      </c>
      <c r="C241" t="s">
        <v>18</v>
      </c>
      <c r="D241" t="s">
        <v>2</v>
      </c>
      <c r="E241" t="s">
        <v>62</v>
      </c>
      <c r="F241">
        <v>0</v>
      </c>
      <c r="G241">
        <v>0</v>
      </c>
      <c r="H241">
        <v>1</v>
      </c>
      <c r="I241">
        <v>1</v>
      </c>
      <c r="J241">
        <v>2</v>
      </c>
      <c r="K241">
        <v>0.6</v>
      </c>
    </row>
    <row r="242" spans="1:11" x14ac:dyDescent="0.2">
      <c r="A242" t="s">
        <v>0</v>
      </c>
      <c r="B242">
        <v>35</v>
      </c>
      <c r="C242" t="s">
        <v>18</v>
      </c>
      <c r="D242" t="s">
        <v>2</v>
      </c>
      <c r="E242" t="s">
        <v>71</v>
      </c>
      <c r="F242">
        <v>0</v>
      </c>
      <c r="G242">
        <v>0</v>
      </c>
      <c r="H242">
        <v>2</v>
      </c>
      <c r="I242">
        <v>0</v>
      </c>
      <c r="J242">
        <v>2</v>
      </c>
      <c r="K242">
        <v>1.2</v>
      </c>
    </row>
    <row r="243" spans="1:11" x14ac:dyDescent="0.2">
      <c r="A243" t="s">
        <v>0</v>
      </c>
      <c r="B243">
        <v>35</v>
      </c>
      <c r="C243" t="s">
        <v>18</v>
      </c>
      <c r="D243" t="s">
        <v>2</v>
      </c>
      <c r="E243" t="s">
        <v>54</v>
      </c>
      <c r="F243">
        <v>1</v>
      </c>
      <c r="G243">
        <v>0</v>
      </c>
      <c r="H243">
        <v>2</v>
      </c>
      <c r="I243">
        <v>0</v>
      </c>
      <c r="J243">
        <v>3</v>
      </c>
      <c r="K243">
        <v>2</v>
      </c>
    </row>
    <row r="244" spans="1:11" x14ac:dyDescent="0.2">
      <c r="A244" t="s">
        <v>0</v>
      </c>
      <c r="B244">
        <v>35</v>
      </c>
      <c r="C244" t="s">
        <v>18</v>
      </c>
      <c r="D244" t="s">
        <v>2</v>
      </c>
      <c r="E244" t="s">
        <v>57</v>
      </c>
      <c r="F244">
        <v>1</v>
      </c>
      <c r="G244">
        <v>0</v>
      </c>
      <c r="H244">
        <v>0</v>
      </c>
      <c r="I244">
        <v>0</v>
      </c>
      <c r="J244">
        <v>1</v>
      </c>
      <c r="K244">
        <v>1</v>
      </c>
    </row>
    <row r="245" spans="1:11" x14ac:dyDescent="0.2">
      <c r="A245" t="s">
        <v>0</v>
      </c>
      <c r="B245">
        <v>35</v>
      </c>
      <c r="C245" t="s">
        <v>18</v>
      </c>
      <c r="D245" t="s">
        <v>6</v>
      </c>
      <c r="E245" t="s">
        <v>57</v>
      </c>
      <c r="F245">
        <v>1</v>
      </c>
      <c r="G245">
        <v>0</v>
      </c>
      <c r="H245">
        <v>0</v>
      </c>
      <c r="I245">
        <v>0</v>
      </c>
      <c r="J245">
        <v>1</v>
      </c>
      <c r="K245">
        <v>1</v>
      </c>
    </row>
    <row r="246" spans="1:11" x14ac:dyDescent="0.2">
      <c r="A246" t="s">
        <v>0</v>
      </c>
      <c r="B246">
        <v>35</v>
      </c>
      <c r="C246" t="s">
        <v>23</v>
      </c>
      <c r="D246" t="s">
        <v>33</v>
      </c>
      <c r="E246" t="s">
        <v>34</v>
      </c>
      <c r="F246">
        <v>0</v>
      </c>
      <c r="G246">
        <v>1</v>
      </c>
      <c r="H246">
        <v>0</v>
      </c>
      <c r="I246">
        <v>0</v>
      </c>
      <c r="J246">
        <v>1</v>
      </c>
      <c r="K246">
        <v>0.75</v>
      </c>
    </row>
    <row r="247" spans="1:11" x14ac:dyDescent="0.2">
      <c r="A247" t="s">
        <v>0</v>
      </c>
      <c r="B247">
        <v>35</v>
      </c>
      <c r="C247" t="s">
        <v>27</v>
      </c>
      <c r="D247" t="s">
        <v>6</v>
      </c>
      <c r="E247" t="s">
        <v>72</v>
      </c>
      <c r="F247">
        <v>0</v>
      </c>
      <c r="G247">
        <v>0</v>
      </c>
      <c r="H247">
        <v>2</v>
      </c>
      <c r="I247">
        <v>0</v>
      </c>
      <c r="J247">
        <v>2</v>
      </c>
      <c r="K247">
        <v>1</v>
      </c>
    </row>
    <row r="248" spans="1:11" x14ac:dyDescent="0.2">
      <c r="A248" t="s">
        <v>0</v>
      </c>
      <c r="B248">
        <v>35</v>
      </c>
      <c r="C248" t="s">
        <v>27</v>
      </c>
      <c r="D248" t="s">
        <v>2</v>
      </c>
      <c r="E248" t="s">
        <v>73</v>
      </c>
      <c r="F248">
        <v>0</v>
      </c>
      <c r="G248">
        <v>0</v>
      </c>
      <c r="H248">
        <v>1</v>
      </c>
      <c r="I248">
        <v>0</v>
      </c>
      <c r="J248">
        <v>1</v>
      </c>
      <c r="K248">
        <v>0.5</v>
      </c>
    </row>
    <row r="249" spans="1:11" x14ac:dyDescent="0.2">
      <c r="A249" t="s">
        <v>0</v>
      </c>
      <c r="B249">
        <v>36</v>
      </c>
      <c r="C249" t="s">
        <v>4</v>
      </c>
      <c r="D249" t="s">
        <v>33</v>
      </c>
      <c r="E249" t="s">
        <v>36</v>
      </c>
      <c r="F249">
        <v>0</v>
      </c>
      <c r="G249">
        <v>1</v>
      </c>
      <c r="H249">
        <v>0</v>
      </c>
      <c r="I249">
        <v>0</v>
      </c>
      <c r="J249">
        <v>1</v>
      </c>
      <c r="K249">
        <v>0.75</v>
      </c>
    </row>
    <row r="250" spans="1:11" x14ac:dyDescent="0.2">
      <c r="A250" t="s">
        <v>0</v>
      </c>
      <c r="B250">
        <v>36</v>
      </c>
      <c r="C250" t="s">
        <v>4</v>
      </c>
      <c r="D250" t="s">
        <v>2</v>
      </c>
      <c r="E250" t="s">
        <v>7</v>
      </c>
      <c r="F250">
        <v>0</v>
      </c>
      <c r="G250">
        <v>1</v>
      </c>
      <c r="H250">
        <v>0</v>
      </c>
      <c r="I250">
        <v>0</v>
      </c>
      <c r="J250">
        <v>1</v>
      </c>
      <c r="K250">
        <v>0.75</v>
      </c>
    </row>
    <row r="251" spans="1:11" x14ac:dyDescent="0.2">
      <c r="A251" t="s">
        <v>0</v>
      </c>
      <c r="B251">
        <v>36</v>
      </c>
      <c r="C251" t="s">
        <v>11</v>
      </c>
      <c r="D251" t="s">
        <v>2</v>
      </c>
      <c r="E251" t="s">
        <v>66</v>
      </c>
      <c r="F251">
        <v>0</v>
      </c>
      <c r="G251">
        <v>0</v>
      </c>
      <c r="H251">
        <v>0</v>
      </c>
      <c r="I251">
        <v>1</v>
      </c>
      <c r="J251">
        <v>1</v>
      </c>
      <c r="K251">
        <v>0.1</v>
      </c>
    </row>
    <row r="252" spans="1:11" x14ac:dyDescent="0.2">
      <c r="A252" t="s">
        <v>0</v>
      </c>
      <c r="B252">
        <v>36</v>
      </c>
      <c r="C252" t="s">
        <v>15</v>
      </c>
      <c r="D252" t="s">
        <v>2</v>
      </c>
      <c r="E252" t="s">
        <v>66</v>
      </c>
      <c r="F252">
        <v>0</v>
      </c>
      <c r="G252">
        <v>0</v>
      </c>
      <c r="H252">
        <v>0</v>
      </c>
      <c r="I252">
        <v>1</v>
      </c>
      <c r="J252">
        <v>1</v>
      </c>
      <c r="K252">
        <v>0.1</v>
      </c>
    </row>
    <row r="253" spans="1:11" x14ac:dyDescent="0.2">
      <c r="A253" t="s">
        <v>0</v>
      </c>
      <c r="B253">
        <v>36</v>
      </c>
      <c r="C253" t="s">
        <v>18</v>
      </c>
      <c r="D253" t="s">
        <v>2</v>
      </c>
      <c r="E253" t="s">
        <v>21</v>
      </c>
      <c r="F253">
        <v>0</v>
      </c>
      <c r="G253">
        <v>0</v>
      </c>
      <c r="H253">
        <v>0</v>
      </c>
      <c r="I253">
        <v>1</v>
      </c>
      <c r="J253">
        <v>1</v>
      </c>
      <c r="K253">
        <v>0.1</v>
      </c>
    </row>
    <row r="254" spans="1:11" x14ac:dyDescent="0.2">
      <c r="A254" t="s">
        <v>0</v>
      </c>
      <c r="B254">
        <v>36</v>
      </c>
      <c r="C254" t="s">
        <v>18</v>
      </c>
      <c r="D254" t="s">
        <v>6</v>
      </c>
      <c r="E254" t="s">
        <v>22</v>
      </c>
      <c r="F254">
        <v>0</v>
      </c>
      <c r="G254">
        <v>0</v>
      </c>
      <c r="H254">
        <v>1</v>
      </c>
      <c r="I254">
        <v>0</v>
      </c>
      <c r="J254">
        <v>1</v>
      </c>
      <c r="K254">
        <v>0.5</v>
      </c>
    </row>
    <row r="255" spans="1:11" x14ac:dyDescent="0.2">
      <c r="A255" t="s">
        <v>0</v>
      </c>
      <c r="B255">
        <v>36</v>
      </c>
      <c r="C255" t="s">
        <v>18</v>
      </c>
      <c r="D255" t="s">
        <v>6</v>
      </c>
      <c r="E255" t="s">
        <v>39</v>
      </c>
      <c r="F255">
        <v>1</v>
      </c>
      <c r="G255">
        <v>0</v>
      </c>
      <c r="H255">
        <v>5</v>
      </c>
      <c r="I255">
        <v>1</v>
      </c>
      <c r="J255">
        <v>7</v>
      </c>
      <c r="K255">
        <v>3.6</v>
      </c>
    </row>
    <row r="256" spans="1:11" x14ac:dyDescent="0.2">
      <c r="A256" t="s">
        <v>0</v>
      </c>
      <c r="B256">
        <v>36</v>
      </c>
      <c r="C256" t="s">
        <v>23</v>
      </c>
      <c r="D256" t="s">
        <v>2</v>
      </c>
      <c r="E256" t="s">
        <v>35</v>
      </c>
      <c r="F256">
        <v>0</v>
      </c>
      <c r="G256">
        <v>0</v>
      </c>
      <c r="H256">
        <v>0</v>
      </c>
      <c r="I256">
        <v>1</v>
      </c>
      <c r="J256">
        <v>1</v>
      </c>
      <c r="K256">
        <v>0.1</v>
      </c>
    </row>
    <row r="257" spans="1:11" x14ac:dyDescent="0.2">
      <c r="A257" t="s">
        <v>0</v>
      </c>
      <c r="B257">
        <v>36</v>
      </c>
      <c r="C257" t="s">
        <v>23</v>
      </c>
      <c r="D257" t="s">
        <v>2</v>
      </c>
      <c r="E257" t="s">
        <v>74</v>
      </c>
      <c r="F257">
        <v>0</v>
      </c>
      <c r="G257">
        <v>0</v>
      </c>
      <c r="H257">
        <v>0</v>
      </c>
      <c r="I257">
        <v>1</v>
      </c>
      <c r="J257">
        <v>1</v>
      </c>
      <c r="K257">
        <v>0.1</v>
      </c>
    </row>
    <row r="258" spans="1:11" x14ac:dyDescent="0.2">
      <c r="A258" t="s">
        <v>0</v>
      </c>
      <c r="B258">
        <v>37</v>
      </c>
      <c r="C258" t="s">
        <v>4</v>
      </c>
      <c r="D258" t="s">
        <v>2</v>
      </c>
      <c r="E258" t="s">
        <v>75</v>
      </c>
      <c r="F258">
        <v>0</v>
      </c>
      <c r="G258">
        <v>0</v>
      </c>
      <c r="H258">
        <v>0</v>
      </c>
      <c r="I258">
        <v>1</v>
      </c>
      <c r="J258">
        <v>1</v>
      </c>
      <c r="K258">
        <v>0.1</v>
      </c>
    </row>
    <row r="259" spans="1:11" x14ac:dyDescent="0.2">
      <c r="A259" t="s">
        <v>0</v>
      </c>
      <c r="B259">
        <v>37</v>
      </c>
      <c r="C259" t="s">
        <v>4</v>
      </c>
      <c r="D259" t="s">
        <v>2</v>
      </c>
      <c r="E259" t="s">
        <v>70</v>
      </c>
      <c r="F259">
        <v>0</v>
      </c>
      <c r="G259">
        <v>1</v>
      </c>
      <c r="H259">
        <v>0</v>
      </c>
      <c r="I259">
        <v>1</v>
      </c>
      <c r="J259">
        <v>2</v>
      </c>
      <c r="K259">
        <v>0.85</v>
      </c>
    </row>
    <row r="260" spans="1:11" x14ac:dyDescent="0.2">
      <c r="A260" t="s">
        <v>0</v>
      </c>
      <c r="B260">
        <v>37</v>
      </c>
      <c r="C260" t="s">
        <v>4</v>
      </c>
      <c r="D260" t="s">
        <v>2</v>
      </c>
      <c r="E260" t="s">
        <v>32</v>
      </c>
      <c r="F260">
        <v>0</v>
      </c>
      <c r="G260">
        <v>0</v>
      </c>
      <c r="H260">
        <v>0</v>
      </c>
      <c r="I260">
        <v>1</v>
      </c>
      <c r="J260">
        <v>1</v>
      </c>
      <c r="K260">
        <v>0.1</v>
      </c>
    </row>
    <row r="261" spans="1:11" x14ac:dyDescent="0.2">
      <c r="A261" t="s">
        <v>0</v>
      </c>
      <c r="B261">
        <v>37</v>
      </c>
      <c r="C261" t="s">
        <v>11</v>
      </c>
      <c r="D261" t="s">
        <v>2</v>
      </c>
      <c r="E261" t="s">
        <v>30</v>
      </c>
      <c r="F261">
        <v>1</v>
      </c>
      <c r="G261">
        <v>0</v>
      </c>
      <c r="H261">
        <v>1</v>
      </c>
      <c r="I261">
        <v>3</v>
      </c>
      <c r="J261">
        <v>5</v>
      </c>
      <c r="K261">
        <v>1.8</v>
      </c>
    </row>
    <row r="262" spans="1:11" x14ac:dyDescent="0.2">
      <c r="A262" t="s">
        <v>0</v>
      </c>
      <c r="B262">
        <v>37</v>
      </c>
      <c r="C262" t="s">
        <v>11</v>
      </c>
      <c r="D262" t="s">
        <v>2</v>
      </c>
      <c r="E262" t="s">
        <v>76</v>
      </c>
      <c r="F262">
        <v>0</v>
      </c>
      <c r="G262">
        <v>0</v>
      </c>
      <c r="H262">
        <v>0</v>
      </c>
      <c r="I262">
        <v>1</v>
      </c>
      <c r="J262">
        <v>1</v>
      </c>
      <c r="K262">
        <v>0.1</v>
      </c>
    </row>
    <row r="263" spans="1:11" x14ac:dyDescent="0.2">
      <c r="A263" t="s">
        <v>0</v>
      </c>
      <c r="B263">
        <v>37</v>
      </c>
      <c r="C263" t="s">
        <v>15</v>
      </c>
      <c r="D263" t="s">
        <v>2</v>
      </c>
      <c r="E263" t="s">
        <v>38</v>
      </c>
      <c r="F263">
        <v>0</v>
      </c>
      <c r="G263">
        <v>0</v>
      </c>
      <c r="H263">
        <v>2</v>
      </c>
      <c r="I263">
        <v>1</v>
      </c>
      <c r="J263">
        <v>3</v>
      </c>
      <c r="K263">
        <v>1.1000000000000001</v>
      </c>
    </row>
    <row r="264" spans="1:11" x14ac:dyDescent="0.2">
      <c r="A264" t="s">
        <v>0</v>
      </c>
      <c r="B264">
        <v>37</v>
      </c>
      <c r="C264" t="s">
        <v>15</v>
      </c>
      <c r="D264" t="s">
        <v>6</v>
      </c>
      <c r="E264" t="s">
        <v>17</v>
      </c>
      <c r="F264">
        <v>1</v>
      </c>
      <c r="G264">
        <v>1</v>
      </c>
      <c r="H264">
        <v>0</v>
      </c>
      <c r="I264">
        <v>0</v>
      </c>
      <c r="J264">
        <v>2</v>
      </c>
      <c r="K264">
        <v>1.75</v>
      </c>
    </row>
    <row r="265" spans="1:11" x14ac:dyDescent="0.2">
      <c r="A265" t="s">
        <v>0</v>
      </c>
      <c r="B265">
        <v>37</v>
      </c>
      <c r="C265" t="s">
        <v>15</v>
      </c>
      <c r="D265" t="s">
        <v>2</v>
      </c>
      <c r="E265" t="s">
        <v>77</v>
      </c>
      <c r="F265">
        <v>0</v>
      </c>
      <c r="G265">
        <v>0</v>
      </c>
      <c r="H265">
        <v>0</v>
      </c>
      <c r="I265">
        <v>2</v>
      </c>
      <c r="J265">
        <v>2</v>
      </c>
      <c r="K265">
        <v>0.2</v>
      </c>
    </row>
    <row r="266" spans="1:11" x14ac:dyDescent="0.2">
      <c r="A266" t="s">
        <v>0</v>
      </c>
      <c r="B266">
        <v>37</v>
      </c>
      <c r="C266" t="s">
        <v>18</v>
      </c>
      <c r="D266" t="s">
        <v>2</v>
      </c>
      <c r="E266" t="s">
        <v>21</v>
      </c>
      <c r="F266">
        <v>0</v>
      </c>
      <c r="G266">
        <v>0</v>
      </c>
      <c r="H266">
        <v>0</v>
      </c>
      <c r="I266">
        <v>1</v>
      </c>
      <c r="J266">
        <v>1</v>
      </c>
      <c r="K266">
        <v>0.1</v>
      </c>
    </row>
    <row r="267" spans="1:11" x14ac:dyDescent="0.2">
      <c r="A267" t="s">
        <v>0</v>
      </c>
      <c r="B267">
        <v>37</v>
      </c>
      <c r="C267" t="s">
        <v>18</v>
      </c>
      <c r="D267" t="s">
        <v>2</v>
      </c>
      <c r="E267" t="s">
        <v>54</v>
      </c>
      <c r="F267">
        <v>0</v>
      </c>
      <c r="G267">
        <v>2</v>
      </c>
      <c r="H267">
        <v>1</v>
      </c>
      <c r="I267">
        <v>0</v>
      </c>
      <c r="J267">
        <v>3</v>
      </c>
      <c r="K267">
        <v>2</v>
      </c>
    </row>
    <row r="268" spans="1:11" x14ac:dyDescent="0.2">
      <c r="A268" t="s">
        <v>0</v>
      </c>
      <c r="B268">
        <v>37</v>
      </c>
      <c r="C268" t="s">
        <v>18</v>
      </c>
      <c r="D268" t="s">
        <v>2</v>
      </c>
      <c r="E268" t="s">
        <v>57</v>
      </c>
      <c r="F268">
        <v>3</v>
      </c>
      <c r="G268">
        <v>0</v>
      </c>
      <c r="H268">
        <v>2</v>
      </c>
      <c r="I268">
        <v>1</v>
      </c>
      <c r="J268">
        <v>6</v>
      </c>
      <c r="K268">
        <v>4.0999999999999996</v>
      </c>
    </row>
    <row r="269" spans="1:11" x14ac:dyDescent="0.2">
      <c r="A269" t="s">
        <v>0</v>
      </c>
      <c r="B269">
        <v>37</v>
      </c>
      <c r="C269" t="s">
        <v>18</v>
      </c>
      <c r="D269" t="s">
        <v>6</v>
      </c>
      <c r="E269" t="s">
        <v>57</v>
      </c>
      <c r="F269">
        <v>3</v>
      </c>
      <c r="G269">
        <v>0</v>
      </c>
      <c r="H269">
        <v>2</v>
      </c>
      <c r="I269">
        <v>1</v>
      </c>
      <c r="J269">
        <v>6</v>
      </c>
      <c r="K269">
        <v>4.0999999999999996</v>
      </c>
    </row>
    <row r="270" spans="1:11" x14ac:dyDescent="0.2">
      <c r="A270" t="s">
        <v>0</v>
      </c>
      <c r="B270">
        <v>37</v>
      </c>
      <c r="C270" t="s">
        <v>23</v>
      </c>
      <c r="D270" t="s">
        <v>33</v>
      </c>
      <c r="E270" t="s">
        <v>34</v>
      </c>
      <c r="F270">
        <v>0</v>
      </c>
      <c r="G270">
        <v>0</v>
      </c>
      <c r="H270">
        <v>1</v>
      </c>
      <c r="I270">
        <v>0</v>
      </c>
      <c r="J270">
        <v>1</v>
      </c>
      <c r="K270">
        <v>0.6</v>
      </c>
    </row>
    <row r="271" spans="1:11" x14ac:dyDescent="0.2">
      <c r="A271" t="s">
        <v>0</v>
      </c>
      <c r="B271">
        <v>37</v>
      </c>
      <c r="C271" t="s">
        <v>23</v>
      </c>
      <c r="D271" t="s">
        <v>2</v>
      </c>
      <c r="E271" t="s">
        <v>26</v>
      </c>
      <c r="F271">
        <v>1</v>
      </c>
      <c r="G271">
        <v>1</v>
      </c>
      <c r="H271">
        <v>0</v>
      </c>
      <c r="I271">
        <v>0</v>
      </c>
      <c r="J271">
        <v>2</v>
      </c>
      <c r="K271">
        <v>1.75</v>
      </c>
    </row>
    <row r="272" spans="1:11" x14ac:dyDescent="0.2">
      <c r="A272" t="s">
        <v>0</v>
      </c>
      <c r="B272">
        <v>37</v>
      </c>
      <c r="C272" t="s">
        <v>27</v>
      </c>
      <c r="D272" t="s">
        <v>6</v>
      </c>
      <c r="E272" t="s">
        <v>41</v>
      </c>
      <c r="F272">
        <v>0</v>
      </c>
      <c r="G272">
        <v>0</v>
      </c>
      <c r="H272">
        <v>1</v>
      </c>
      <c r="I272">
        <v>2</v>
      </c>
      <c r="J272">
        <v>3</v>
      </c>
      <c r="K272">
        <v>0.7</v>
      </c>
    </row>
    <row r="273" spans="1:11" x14ac:dyDescent="0.2">
      <c r="A273" t="s">
        <v>0</v>
      </c>
      <c r="B273">
        <v>37</v>
      </c>
      <c r="C273" t="s">
        <v>27</v>
      </c>
      <c r="D273" t="s">
        <v>2</v>
      </c>
      <c r="E273" t="s">
        <v>42</v>
      </c>
      <c r="F273">
        <v>0</v>
      </c>
      <c r="G273">
        <v>0</v>
      </c>
      <c r="H273">
        <v>1</v>
      </c>
      <c r="I273">
        <v>0</v>
      </c>
      <c r="J273">
        <v>1</v>
      </c>
      <c r="K273">
        <v>0.5</v>
      </c>
    </row>
    <row r="274" spans="1:11" x14ac:dyDescent="0.2">
      <c r="A274" t="s">
        <v>0</v>
      </c>
      <c r="B274">
        <v>38</v>
      </c>
      <c r="C274" t="s">
        <v>4</v>
      </c>
      <c r="D274" t="s">
        <v>2</v>
      </c>
      <c r="E274" t="s">
        <v>75</v>
      </c>
      <c r="F274">
        <v>0</v>
      </c>
      <c r="G274">
        <v>1</v>
      </c>
      <c r="H274">
        <v>0</v>
      </c>
      <c r="I274">
        <v>0</v>
      </c>
      <c r="J274">
        <v>1</v>
      </c>
      <c r="K274">
        <v>0.75</v>
      </c>
    </row>
    <row r="275" spans="1:11" x14ac:dyDescent="0.2">
      <c r="A275" t="s">
        <v>0</v>
      </c>
      <c r="B275">
        <v>38</v>
      </c>
      <c r="C275" t="s">
        <v>4</v>
      </c>
      <c r="D275" t="s">
        <v>2</v>
      </c>
      <c r="E275" t="s">
        <v>70</v>
      </c>
      <c r="F275">
        <v>1</v>
      </c>
      <c r="G275">
        <v>2</v>
      </c>
      <c r="H275">
        <v>1</v>
      </c>
      <c r="I275">
        <v>2</v>
      </c>
      <c r="J275">
        <v>6</v>
      </c>
      <c r="K275">
        <v>3.2</v>
      </c>
    </row>
    <row r="276" spans="1:11" x14ac:dyDescent="0.2">
      <c r="A276" t="s">
        <v>0</v>
      </c>
      <c r="B276">
        <v>38</v>
      </c>
      <c r="C276" t="s">
        <v>11</v>
      </c>
      <c r="D276" t="s">
        <v>2</v>
      </c>
      <c r="E276" t="s">
        <v>52</v>
      </c>
      <c r="F276">
        <v>0</v>
      </c>
      <c r="G276">
        <v>0</v>
      </c>
      <c r="H276">
        <v>0</v>
      </c>
      <c r="I276">
        <v>1</v>
      </c>
      <c r="J276">
        <v>1</v>
      </c>
      <c r="K276">
        <v>0.1</v>
      </c>
    </row>
    <row r="277" spans="1:11" x14ac:dyDescent="0.2">
      <c r="A277" t="s">
        <v>0</v>
      </c>
      <c r="B277">
        <v>38</v>
      </c>
      <c r="C277" t="s">
        <v>11</v>
      </c>
      <c r="D277" t="s">
        <v>6</v>
      </c>
      <c r="E277" t="s">
        <v>78</v>
      </c>
      <c r="F277">
        <v>0</v>
      </c>
      <c r="G277">
        <v>0</v>
      </c>
      <c r="H277">
        <v>1</v>
      </c>
      <c r="I277">
        <v>0</v>
      </c>
      <c r="J277">
        <v>1</v>
      </c>
      <c r="K277">
        <v>0.5</v>
      </c>
    </row>
    <row r="278" spans="1:11" x14ac:dyDescent="0.2">
      <c r="A278" t="s">
        <v>0</v>
      </c>
      <c r="B278">
        <v>38</v>
      </c>
      <c r="C278" t="s">
        <v>11</v>
      </c>
      <c r="D278" t="s">
        <v>2</v>
      </c>
      <c r="E278" t="s">
        <v>62</v>
      </c>
      <c r="F278">
        <v>4</v>
      </c>
      <c r="G278">
        <v>0</v>
      </c>
      <c r="H278">
        <v>1</v>
      </c>
      <c r="I278">
        <v>0</v>
      </c>
      <c r="J278">
        <v>5</v>
      </c>
      <c r="K278">
        <v>4.5</v>
      </c>
    </row>
    <row r="279" spans="1:11" x14ac:dyDescent="0.2">
      <c r="A279" t="s">
        <v>0</v>
      </c>
      <c r="B279">
        <v>38</v>
      </c>
      <c r="C279" t="s">
        <v>11</v>
      </c>
      <c r="D279" t="s">
        <v>2</v>
      </c>
      <c r="E279" t="s">
        <v>76</v>
      </c>
      <c r="F279">
        <v>0</v>
      </c>
      <c r="G279">
        <v>0</v>
      </c>
      <c r="H279">
        <v>0</v>
      </c>
      <c r="I279">
        <v>1</v>
      </c>
      <c r="J279">
        <v>1</v>
      </c>
      <c r="K279">
        <v>0.1</v>
      </c>
    </row>
    <row r="280" spans="1:11" x14ac:dyDescent="0.2">
      <c r="A280" t="s">
        <v>0</v>
      </c>
      <c r="B280">
        <v>38</v>
      </c>
      <c r="C280" t="s">
        <v>1</v>
      </c>
      <c r="D280" t="s">
        <v>2</v>
      </c>
      <c r="E280" t="s">
        <v>3</v>
      </c>
      <c r="F280">
        <v>2</v>
      </c>
      <c r="G280">
        <v>0</v>
      </c>
      <c r="H280">
        <v>0</v>
      </c>
      <c r="I280">
        <v>0</v>
      </c>
      <c r="J280">
        <v>2</v>
      </c>
      <c r="K280">
        <v>2</v>
      </c>
    </row>
    <row r="281" spans="1:11" x14ac:dyDescent="0.2">
      <c r="A281" t="s">
        <v>0</v>
      </c>
      <c r="B281">
        <v>38</v>
      </c>
      <c r="C281" t="s">
        <v>15</v>
      </c>
      <c r="D281" t="s">
        <v>2</v>
      </c>
      <c r="E281" t="s">
        <v>16</v>
      </c>
      <c r="F281">
        <v>1</v>
      </c>
      <c r="G281">
        <v>0</v>
      </c>
      <c r="H281">
        <v>0</v>
      </c>
      <c r="I281">
        <v>1</v>
      </c>
      <c r="J281">
        <v>2</v>
      </c>
      <c r="K281">
        <v>1.1000000000000001</v>
      </c>
    </row>
    <row r="282" spans="1:11" x14ac:dyDescent="0.2">
      <c r="A282" t="s">
        <v>0</v>
      </c>
      <c r="B282">
        <v>38</v>
      </c>
      <c r="C282" t="s">
        <v>15</v>
      </c>
      <c r="D282" t="s">
        <v>2</v>
      </c>
      <c r="E282" t="s">
        <v>38</v>
      </c>
      <c r="F282">
        <v>0</v>
      </c>
      <c r="G282">
        <v>0</v>
      </c>
      <c r="H282">
        <v>0</v>
      </c>
      <c r="I282">
        <v>1</v>
      </c>
      <c r="J282">
        <v>1</v>
      </c>
      <c r="K282">
        <v>0.1</v>
      </c>
    </row>
    <row r="283" spans="1:11" x14ac:dyDescent="0.2">
      <c r="A283" t="s">
        <v>0</v>
      </c>
      <c r="B283">
        <v>38</v>
      </c>
      <c r="C283" t="s">
        <v>15</v>
      </c>
      <c r="D283" t="s">
        <v>6</v>
      </c>
      <c r="E283" t="s">
        <v>17</v>
      </c>
      <c r="F283">
        <v>0</v>
      </c>
      <c r="G283">
        <v>0</v>
      </c>
      <c r="H283">
        <v>0</v>
      </c>
      <c r="I283">
        <v>1</v>
      </c>
      <c r="J283">
        <v>1</v>
      </c>
      <c r="K283">
        <v>0.1</v>
      </c>
    </row>
    <row r="284" spans="1:11" x14ac:dyDescent="0.2">
      <c r="A284" t="s">
        <v>0</v>
      </c>
      <c r="B284">
        <v>38</v>
      </c>
      <c r="C284" t="s">
        <v>18</v>
      </c>
      <c r="D284" t="s">
        <v>6</v>
      </c>
      <c r="E284" t="s">
        <v>19</v>
      </c>
      <c r="F284">
        <v>0</v>
      </c>
      <c r="G284">
        <v>1</v>
      </c>
      <c r="H284">
        <v>1</v>
      </c>
      <c r="I284">
        <v>0</v>
      </c>
      <c r="J284">
        <v>2</v>
      </c>
      <c r="K284">
        <v>1.25</v>
      </c>
    </row>
    <row r="285" spans="1:11" x14ac:dyDescent="0.2">
      <c r="A285" t="s">
        <v>0</v>
      </c>
      <c r="B285">
        <v>38</v>
      </c>
      <c r="C285" t="s">
        <v>18</v>
      </c>
      <c r="D285" t="s">
        <v>2</v>
      </c>
      <c r="E285" t="s">
        <v>79</v>
      </c>
      <c r="F285">
        <v>2</v>
      </c>
      <c r="G285">
        <v>0</v>
      </c>
      <c r="H285">
        <v>1</v>
      </c>
      <c r="I285">
        <v>0</v>
      </c>
      <c r="J285">
        <v>3</v>
      </c>
      <c r="K285">
        <v>2.5</v>
      </c>
    </row>
    <row r="286" spans="1:11" x14ac:dyDescent="0.2">
      <c r="A286" t="s">
        <v>0</v>
      </c>
      <c r="B286">
        <v>38</v>
      </c>
      <c r="C286" t="s">
        <v>18</v>
      </c>
      <c r="D286" t="s">
        <v>6</v>
      </c>
      <c r="E286" t="s">
        <v>79</v>
      </c>
      <c r="F286">
        <v>2</v>
      </c>
      <c r="G286">
        <v>0</v>
      </c>
      <c r="H286">
        <v>1</v>
      </c>
      <c r="I286">
        <v>0</v>
      </c>
      <c r="J286">
        <v>3</v>
      </c>
      <c r="K286">
        <v>2.5</v>
      </c>
    </row>
    <row r="287" spans="1:11" x14ac:dyDescent="0.2">
      <c r="A287" t="s">
        <v>0</v>
      </c>
      <c r="B287">
        <v>38</v>
      </c>
      <c r="C287" t="s">
        <v>18</v>
      </c>
      <c r="D287" t="s">
        <v>2</v>
      </c>
      <c r="E287" t="s">
        <v>21</v>
      </c>
      <c r="F287">
        <v>7</v>
      </c>
      <c r="G287">
        <v>0</v>
      </c>
      <c r="H287">
        <v>2</v>
      </c>
      <c r="I287">
        <v>1</v>
      </c>
      <c r="J287">
        <v>10</v>
      </c>
      <c r="K287">
        <v>8.1</v>
      </c>
    </row>
    <row r="288" spans="1:11" x14ac:dyDescent="0.2">
      <c r="A288" t="s">
        <v>0</v>
      </c>
      <c r="B288">
        <v>38</v>
      </c>
      <c r="C288" t="s">
        <v>18</v>
      </c>
      <c r="D288" t="s">
        <v>2</v>
      </c>
      <c r="E288" t="s">
        <v>62</v>
      </c>
      <c r="F288">
        <v>4</v>
      </c>
      <c r="G288">
        <v>0</v>
      </c>
      <c r="H288">
        <v>1</v>
      </c>
      <c r="I288">
        <v>0</v>
      </c>
      <c r="J288">
        <v>5</v>
      </c>
      <c r="K288">
        <v>4.5</v>
      </c>
    </row>
    <row r="289" spans="1:11" x14ac:dyDescent="0.2">
      <c r="A289" t="s">
        <v>0</v>
      </c>
      <c r="B289">
        <v>38</v>
      </c>
      <c r="C289" t="s">
        <v>18</v>
      </c>
      <c r="D289" t="s">
        <v>2</v>
      </c>
      <c r="E289" t="s">
        <v>71</v>
      </c>
      <c r="F289">
        <v>0</v>
      </c>
      <c r="G289">
        <v>0</v>
      </c>
      <c r="H289">
        <v>1</v>
      </c>
      <c r="I289">
        <v>0</v>
      </c>
      <c r="J289">
        <v>1</v>
      </c>
      <c r="K289">
        <v>0.5</v>
      </c>
    </row>
    <row r="290" spans="1:11" x14ac:dyDescent="0.2">
      <c r="A290" t="s">
        <v>0</v>
      </c>
      <c r="B290">
        <v>38</v>
      </c>
      <c r="C290" t="s">
        <v>18</v>
      </c>
      <c r="D290" t="s">
        <v>2</v>
      </c>
      <c r="E290" t="s">
        <v>57</v>
      </c>
      <c r="F290">
        <v>0</v>
      </c>
      <c r="G290">
        <v>0</v>
      </c>
      <c r="H290">
        <v>1</v>
      </c>
      <c r="I290">
        <v>0</v>
      </c>
      <c r="J290">
        <v>1</v>
      </c>
      <c r="K290">
        <v>0.5</v>
      </c>
    </row>
    <row r="291" spans="1:11" x14ac:dyDescent="0.2">
      <c r="A291" t="s">
        <v>0</v>
      </c>
      <c r="B291">
        <v>38</v>
      </c>
      <c r="C291" t="s">
        <v>18</v>
      </c>
      <c r="D291" t="s">
        <v>6</v>
      </c>
      <c r="E291" t="s">
        <v>57</v>
      </c>
      <c r="F291">
        <v>0</v>
      </c>
      <c r="G291">
        <v>0</v>
      </c>
      <c r="H291">
        <v>1</v>
      </c>
      <c r="I291">
        <v>0</v>
      </c>
      <c r="J291">
        <v>1</v>
      </c>
      <c r="K291">
        <v>0.5</v>
      </c>
    </row>
    <row r="292" spans="1:11" x14ac:dyDescent="0.2">
      <c r="A292" t="s">
        <v>0</v>
      </c>
      <c r="B292">
        <v>38</v>
      </c>
      <c r="C292" t="s">
        <v>23</v>
      </c>
      <c r="D292" t="s">
        <v>2</v>
      </c>
      <c r="E292" t="s">
        <v>26</v>
      </c>
      <c r="F292">
        <v>0</v>
      </c>
      <c r="G292">
        <v>0</v>
      </c>
      <c r="H292">
        <v>0</v>
      </c>
      <c r="I292">
        <v>1</v>
      </c>
      <c r="J292">
        <v>1</v>
      </c>
      <c r="K292">
        <v>0.1</v>
      </c>
    </row>
    <row r="293" spans="1:11" x14ac:dyDescent="0.2">
      <c r="A293" t="s">
        <v>0</v>
      </c>
      <c r="B293">
        <v>39</v>
      </c>
      <c r="C293" t="s">
        <v>4</v>
      </c>
      <c r="D293" t="s">
        <v>2</v>
      </c>
      <c r="E293" t="s">
        <v>70</v>
      </c>
      <c r="F293">
        <v>0</v>
      </c>
      <c r="G293">
        <v>2</v>
      </c>
      <c r="H293">
        <v>0</v>
      </c>
      <c r="I293">
        <v>0</v>
      </c>
      <c r="J293">
        <v>2</v>
      </c>
      <c r="K293">
        <v>1.5</v>
      </c>
    </row>
    <row r="294" spans="1:11" x14ac:dyDescent="0.2">
      <c r="A294" t="s">
        <v>0</v>
      </c>
      <c r="B294">
        <v>39</v>
      </c>
      <c r="C294" t="s">
        <v>4</v>
      </c>
      <c r="D294" t="s">
        <v>2</v>
      </c>
      <c r="E294" t="s">
        <v>32</v>
      </c>
      <c r="F294">
        <v>1</v>
      </c>
      <c r="G294">
        <v>0</v>
      </c>
      <c r="H294">
        <v>0</v>
      </c>
      <c r="I294">
        <v>1</v>
      </c>
      <c r="J294">
        <v>2</v>
      </c>
      <c r="K294">
        <v>1.1000000000000001</v>
      </c>
    </row>
    <row r="295" spans="1:11" x14ac:dyDescent="0.2">
      <c r="A295" t="s">
        <v>0</v>
      </c>
      <c r="B295">
        <v>39</v>
      </c>
      <c r="C295" t="s">
        <v>11</v>
      </c>
      <c r="D295" t="s">
        <v>2</v>
      </c>
      <c r="E295" t="s">
        <v>62</v>
      </c>
      <c r="F295">
        <v>1</v>
      </c>
      <c r="G295">
        <v>0</v>
      </c>
      <c r="H295">
        <v>0</v>
      </c>
      <c r="I295">
        <v>0</v>
      </c>
      <c r="J295">
        <v>1</v>
      </c>
      <c r="K295">
        <v>1</v>
      </c>
    </row>
    <row r="296" spans="1:11" x14ac:dyDescent="0.2">
      <c r="A296" t="s">
        <v>0</v>
      </c>
      <c r="B296">
        <v>39</v>
      </c>
      <c r="C296" t="s">
        <v>18</v>
      </c>
      <c r="D296" t="s">
        <v>2</v>
      </c>
      <c r="E296" t="s">
        <v>79</v>
      </c>
      <c r="F296">
        <v>1</v>
      </c>
      <c r="G296">
        <v>0</v>
      </c>
      <c r="H296">
        <v>0</v>
      </c>
      <c r="I296">
        <v>0</v>
      </c>
      <c r="J296">
        <v>1</v>
      </c>
      <c r="K296">
        <v>1</v>
      </c>
    </row>
    <row r="297" spans="1:11" x14ac:dyDescent="0.2">
      <c r="A297" t="s">
        <v>0</v>
      </c>
      <c r="B297">
        <v>39</v>
      </c>
      <c r="C297" t="s">
        <v>18</v>
      </c>
      <c r="D297" t="s">
        <v>6</v>
      </c>
      <c r="E297" t="s">
        <v>79</v>
      </c>
      <c r="F297">
        <v>1</v>
      </c>
      <c r="G297">
        <v>0</v>
      </c>
      <c r="H297">
        <v>0</v>
      </c>
      <c r="I297">
        <v>0</v>
      </c>
      <c r="J297">
        <v>1</v>
      </c>
      <c r="K297">
        <v>1</v>
      </c>
    </row>
    <row r="298" spans="1:11" x14ac:dyDescent="0.2">
      <c r="A298" t="s">
        <v>0</v>
      </c>
      <c r="B298">
        <v>39</v>
      </c>
      <c r="C298" t="s">
        <v>18</v>
      </c>
      <c r="D298" t="s">
        <v>2</v>
      </c>
      <c r="E298" t="s">
        <v>21</v>
      </c>
      <c r="F298">
        <v>1</v>
      </c>
      <c r="G298">
        <v>0</v>
      </c>
      <c r="H298">
        <v>0</v>
      </c>
      <c r="I298">
        <v>0</v>
      </c>
      <c r="J298">
        <v>1</v>
      </c>
      <c r="K298">
        <v>1</v>
      </c>
    </row>
    <row r="299" spans="1:11" x14ac:dyDescent="0.2">
      <c r="A299" t="s">
        <v>0</v>
      </c>
      <c r="B299">
        <v>39</v>
      </c>
      <c r="C299" t="s">
        <v>18</v>
      </c>
      <c r="D299" t="s">
        <v>2</v>
      </c>
      <c r="E299" t="s">
        <v>62</v>
      </c>
      <c r="F299">
        <v>1</v>
      </c>
      <c r="G299">
        <v>0</v>
      </c>
      <c r="H299">
        <v>0</v>
      </c>
      <c r="I299">
        <v>0</v>
      </c>
      <c r="J299">
        <v>1</v>
      </c>
      <c r="K299">
        <v>1</v>
      </c>
    </row>
    <row r="300" spans="1:11" x14ac:dyDescent="0.2">
      <c r="A300" t="s">
        <v>0</v>
      </c>
      <c r="B300">
        <v>39</v>
      </c>
      <c r="C300" t="s">
        <v>18</v>
      </c>
      <c r="D300" t="s">
        <v>2</v>
      </c>
      <c r="E300" t="s">
        <v>54</v>
      </c>
      <c r="F300">
        <v>0</v>
      </c>
      <c r="G300">
        <v>0</v>
      </c>
      <c r="H300">
        <v>0</v>
      </c>
      <c r="I300">
        <v>2</v>
      </c>
      <c r="J300">
        <v>2</v>
      </c>
      <c r="K300">
        <v>0.2</v>
      </c>
    </row>
    <row r="301" spans="1:11" x14ac:dyDescent="0.2">
      <c r="A301" t="s">
        <v>0</v>
      </c>
      <c r="B301">
        <v>39</v>
      </c>
      <c r="C301" t="s">
        <v>23</v>
      </c>
      <c r="D301" t="s">
        <v>33</v>
      </c>
      <c r="E301" t="s">
        <v>34</v>
      </c>
      <c r="F301">
        <v>0</v>
      </c>
      <c r="G301">
        <v>1</v>
      </c>
      <c r="H301">
        <v>0</v>
      </c>
      <c r="I301">
        <v>1</v>
      </c>
      <c r="J301">
        <v>2</v>
      </c>
      <c r="K301">
        <v>0.85</v>
      </c>
    </row>
    <row r="302" spans="1:11" x14ac:dyDescent="0.2">
      <c r="A302" t="s">
        <v>0</v>
      </c>
      <c r="B302">
        <v>40</v>
      </c>
      <c r="C302" t="s">
        <v>4</v>
      </c>
      <c r="D302" t="s">
        <v>2</v>
      </c>
      <c r="E302" t="s">
        <v>80</v>
      </c>
      <c r="F302">
        <v>1</v>
      </c>
      <c r="G302">
        <v>0</v>
      </c>
      <c r="H302">
        <v>0</v>
      </c>
      <c r="I302">
        <v>0</v>
      </c>
      <c r="J302">
        <v>1</v>
      </c>
      <c r="K302">
        <v>1</v>
      </c>
    </row>
    <row r="303" spans="1:11" x14ac:dyDescent="0.2">
      <c r="A303" t="s">
        <v>0</v>
      </c>
      <c r="B303">
        <v>40</v>
      </c>
      <c r="C303" t="s">
        <v>4</v>
      </c>
      <c r="D303" t="s">
        <v>6</v>
      </c>
      <c r="E303" t="s">
        <v>80</v>
      </c>
      <c r="F303">
        <v>1</v>
      </c>
      <c r="G303">
        <v>0</v>
      </c>
      <c r="H303">
        <v>0</v>
      </c>
      <c r="I303">
        <v>0</v>
      </c>
      <c r="J303">
        <v>1</v>
      </c>
      <c r="K303">
        <v>1</v>
      </c>
    </row>
    <row r="304" spans="1:11" x14ac:dyDescent="0.2">
      <c r="A304" t="s">
        <v>0</v>
      </c>
      <c r="B304">
        <v>40</v>
      </c>
      <c r="C304" t="s">
        <v>15</v>
      </c>
      <c r="D304" t="s">
        <v>2</v>
      </c>
      <c r="E304" t="s">
        <v>38</v>
      </c>
      <c r="F304">
        <v>0</v>
      </c>
      <c r="G304">
        <v>0</v>
      </c>
      <c r="H304">
        <v>1</v>
      </c>
      <c r="I304">
        <v>2</v>
      </c>
      <c r="J304">
        <v>3</v>
      </c>
      <c r="K304">
        <v>0.7</v>
      </c>
    </row>
    <row r="305" spans="1:11" x14ac:dyDescent="0.2">
      <c r="A305" t="s">
        <v>0</v>
      </c>
      <c r="B305">
        <v>40</v>
      </c>
      <c r="C305" t="s">
        <v>15</v>
      </c>
      <c r="D305" t="s">
        <v>2</v>
      </c>
      <c r="E305" t="s">
        <v>80</v>
      </c>
      <c r="F305">
        <v>1</v>
      </c>
      <c r="G305">
        <v>0</v>
      </c>
      <c r="H305">
        <v>0</v>
      </c>
      <c r="I305">
        <v>0</v>
      </c>
      <c r="J305">
        <v>1</v>
      </c>
      <c r="K305">
        <v>1</v>
      </c>
    </row>
    <row r="306" spans="1:11" x14ac:dyDescent="0.2">
      <c r="A306" t="s">
        <v>0</v>
      </c>
      <c r="B306">
        <v>40</v>
      </c>
      <c r="C306" t="s">
        <v>18</v>
      </c>
      <c r="D306" t="s">
        <v>33</v>
      </c>
      <c r="E306" t="s">
        <v>81</v>
      </c>
      <c r="F306">
        <v>0</v>
      </c>
      <c r="G306">
        <v>0</v>
      </c>
      <c r="H306">
        <v>3</v>
      </c>
      <c r="I306">
        <v>0</v>
      </c>
      <c r="J306">
        <v>3</v>
      </c>
      <c r="K306">
        <v>1.5</v>
      </c>
    </row>
    <row r="307" spans="1:11" x14ac:dyDescent="0.2">
      <c r="A307" t="s">
        <v>0</v>
      </c>
      <c r="B307">
        <v>40</v>
      </c>
      <c r="C307" t="s">
        <v>18</v>
      </c>
      <c r="D307" t="s">
        <v>2</v>
      </c>
      <c r="E307" t="s">
        <v>57</v>
      </c>
      <c r="F307">
        <v>9</v>
      </c>
      <c r="G307">
        <v>0</v>
      </c>
      <c r="H307">
        <v>3</v>
      </c>
      <c r="I307">
        <v>0</v>
      </c>
      <c r="J307">
        <v>12</v>
      </c>
      <c r="K307">
        <v>10.5</v>
      </c>
    </row>
    <row r="308" spans="1:11" x14ac:dyDescent="0.2">
      <c r="A308" t="s">
        <v>0</v>
      </c>
      <c r="B308">
        <v>40</v>
      </c>
      <c r="C308" t="s">
        <v>18</v>
      </c>
      <c r="D308" t="s">
        <v>6</v>
      </c>
      <c r="E308" t="s">
        <v>57</v>
      </c>
      <c r="F308">
        <v>9</v>
      </c>
      <c r="G308">
        <v>0</v>
      </c>
      <c r="H308">
        <v>3</v>
      </c>
      <c r="I308">
        <v>0</v>
      </c>
      <c r="J308">
        <v>12</v>
      </c>
      <c r="K308">
        <v>10.5</v>
      </c>
    </row>
    <row r="309" spans="1:11" x14ac:dyDescent="0.2">
      <c r="A309" t="s">
        <v>0</v>
      </c>
      <c r="B309">
        <v>40</v>
      </c>
      <c r="C309" t="s">
        <v>18</v>
      </c>
      <c r="D309" t="s">
        <v>63</v>
      </c>
      <c r="E309" t="s">
        <v>82</v>
      </c>
      <c r="F309">
        <v>1</v>
      </c>
      <c r="G309">
        <v>0</v>
      </c>
      <c r="H309">
        <v>0</v>
      </c>
      <c r="I309">
        <v>0</v>
      </c>
      <c r="J309">
        <v>1</v>
      </c>
      <c r="K309">
        <v>1</v>
      </c>
    </row>
    <row r="310" spans="1:11" x14ac:dyDescent="0.2">
      <c r="A310" t="s">
        <v>0</v>
      </c>
      <c r="B310">
        <v>40</v>
      </c>
      <c r="C310" t="s">
        <v>27</v>
      </c>
      <c r="D310" t="s">
        <v>6</v>
      </c>
      <c r="E310" t="s">
        <v>72</v>
      </c>
      <c r="F310">
        <v>1</v>
      </c>
      <c r="G310">
        <v>0</v>
      </c>
      <c r="H310">
        <v>2</v>
      </c>
      <c r="I310">
        <v>0</v>
      </c>
      <c r="J310">
        <v>3</v>
      </c>
      <c r="K310">
        <v>2</v>
      </c>
    </row>
    <row r="311" spans="1:11" x14ac:dyDescent="0.2">
      <c r="A311" t="s">
        <v>0</v>
      </c>
      <c r="B311">
        <v>40</v>
      </c>
      <c r="C311" t="s">
        <v>27</v>
      </c>
      <c r="D311" t="s">
        <v>6</v>
      </c>
      <c r="E311" t="s">
        <v>81</v>
      </c>
      <c r="F311">
        <v>0</v>
      </c>
      <c r="G311">
        <v>0</v>
      </c>
      <c r="H311">
        <v>3</v>
      </c>
      <c r="I311">
        <v>0</v>
      </c>
      <c r="J311">
        <v>3</v>
      </c>
      <c r="K311">
        <v>1.5</v>
      </c>
    </row>
    <row r="312" spans="1:11" x14ac:dyDescent="0.2">
      <c r="A312" t="s">
        <v>0</v>
      </c>
      <c r="B312">
        <v>41</v>
      </c>
      <c r="C312" t="s">
        <v>15</v>
      </c>
      <c r="D312" t="s">
        <v>2</v>
      </c>
      <c r="E312" t="s">
        <v>38</v>
      </c>
      <c r="F312">
        <v>0</v>
      </c>
      <c r="G312">
        <v>0</v>
      </c>
      <c r="H312">
        <v>2</v>
      </c>
      <c r="I312">
        <v>0</v>
      </c>
      <c r="J312">
        <v>2</v>
      </c>
      <c r="K312">
        <v>1</v>
      </c>
    </row>
    <row r="313" spans="1:11" x14ac:dyDescent="0.2">
      <c r="A313" t="s">
        <v>0</v>
      </c>
      <c r="B313">
        <v>41</v>
      </c>
      <c r="C313" t="s">
        <v>23</v>
      </c>
      <c r="D313" t="s">
        <v>33</v>
      </c>
      <c r="E313" t="s">
        <v>40</v>
      </c>
      <c r="F313">
        <v>0</v>
      </c>
      <c r="G313">
        <v>1</v>
      </c>
      <c r="H313">
        <v>0</v>
      </c>
      <c r="I313">
        <v>0</v>
      </c>
      <c r="J313">
        <v>1</v>
      </c>
      <c r="K313">
        <v>0.75</v>
      </c>
    </row>
    <row r="314" spans="1:11" x14ac:dyDescent="0.2">
      <c r="A314" t="s">
        <v>0</v>
      </c>
      <c r="B314">
        <v>42</v>
      </c>
      <c r="C314" t="s">
        <v>11</v>
      </c>
      <c r="D314" t="s">
        <v>2</v>
      </c>
      <c r="E314" t="s">
        <v>66</v>
      </c>
      <c r="F314">
        <v>0</v>
      </c>
      <c r="G314">
        <v>0</v>
      </c>
      <c r="H314">
        <v>1</v>
      </c>
      <c r="I314">
        <v>0</v>
      </c>
      <c r="J314">
        <v>1</v>
      </c>
      <c r="K314">
        <v>0.5</v>
      </c>
    </row>
    <row r="315" spans="1:11" x14ac:dyDescent="0.2">
      <c r="A315" t="s">
        <v>0</v>
      </c>
      <c r="B315">
        <v>42</v>
      </c>
      <c r="C315" t="s">
        <v>15</v>
      </c>
      <c r="D315" t="s">
        <v>2</v>
      </c>
      <c r="E315" t="s">
        <v>16</v>
      </c>
      <c r="F315">
        <v>0</v>
      </c>
      <c r="G315">
        <v>1</v>
      </c>
      <c r="H315">
        <v>0</v>
      </c>
      <c r="I315">
        <v>0</v>
      </c>
      <c r="J315">
        <v>1</v>
      </c>
      <c r="K315">
        <v>0.75</v>
      </c>
    </row>
    <row r="316" spans="1:11" x14ac:dyDescent="0.2">
      <c r="A316" t="s">
        <v>0</v>
      </c>
      <c r="B316">
        <v>42</v>
      </c>
      <c r="C316" t="s">
        <v>15</v>
      </c>
      <c r="D316" t="s">
        <v>2</v>
      </c>
      <c r="E316" t="s">
        <v>66</v>
      </c>
      <c r="F316">
        <v>0</v>
      </c>
      <c r="G316">
        <v>0</v>
      </c>
      <c r="H316">
        <v>1</v>
      </c>
      <c r="I316">
        <v>0</v>
      </c>
      <c r="J316">
        <v>1</v>
      </c>
      <c r="K316">
        <v>0.5</v>
      </c>
    </row>
    <row r="317" spans="1:11" x14ac:dyDescent="0.2">
      <c r="A317" t="s">
        <v>0</v>
      </c>
      <c r="B317">
        <v>42</v>
      </c>
      <c r="C317" t="s">
        <v>18</v>
      </c>
      <c r="D317" t="s">
        <v>6</v>
      </c>
      <c r="E317" t="s">
        <v>19</v>
      </c>
      <c r="F317">
        <v>1</v>
      </c>
      <c r="G317">
        <v>0</v>
      </c>
      <c r="H317">
        <v>0</v>
      </c>
      <c r="I317">
        <v>0</v>
      </c>
      <c r="J317">
        <v>1</v>
      </c>
      <c r="K317">
        <v>1</v>
      </c>
    </row>
    <row r="318" spans="1:11" x14ac:dyDescent="0.2">
      <c r="A318" t="s">
        <v>0</v>
      </c>
      <c r="B318">
        <v>42</v>
      </c>
      <c r="C318" t="s">
        <v>27</v>
      </c>
      <c r="D318" t="s">
        <v>6</v>
      </c>
      <c r="E318" t="s">
        <v>41</v>
      </c>
      <c r="F318">
        <v>0</v>
      </c>
      <c r="G318">
        <v>0</v>
      </c>
      <c r="H318">
        <v>0</v>
      </c>
      <c r="I318">
        <v>2</v>
      </c>
      <c r="J318">
        <v>2</v>
      </c>
      <c r="K318">
        <v>0.2</v>
      </c>
    </row>
    <row r="319" spans="1:11" x14ac:dyDescent="0.2">
      <c r="A319" t="s">
        <v>0</v>
      </c>
      <c r="B319">
        <v>43</v>
      </c>
      <c r="C319" t="s">
        <v>4</v>
      </c>
      <c r="D319" t="s">
        <v>2</v>
      </c>
      <c r="E319" t="s">
        <v>32</v>
      </c>
      <c r="F319">
        <v>0</v>
      </c>
      <c r="G319">
        <v>0</v>
      </c>
      <c r="H319">
        <v>0</v>
      </c>
      <c r="I319">
        <v>1</v>
      </c>
      <c r="J319">
        <v>1</v>
      </c>
      <c r="K319">
        <v>0.1</v>
      </c>
    </row>
    <row r="320" spans="1:11" x14ac:dyDescent="0.2">
      <c r="A320" t="s">
        <v>0</v>
      </c>
      <c r="B320">
        <v>43</v>
      </c>
      <c r="C320" t="s">
        <v>15</v>
      </c>
      <c r="D320" t="s">
        <v>2</v>
      </c>
      <c r="E320" t="s">
        <v>38</v>
      </c>
      <c r="F320">
        <v>0</v>
      </c>
      <c r="G320">
        <v>0</v>
      </c>
      <c r="H320">
        <v>2</v>
      </c>
      <c r="I320">
        <v>0</v>
      </c>
      <c r="J320">
        <v>2</v>
      </c>
      <c r="K320">
        <v>1</v>
      </c>
    </row>
    <row r="321" spans="1:11" x14ac:dyDescent="0.2">
      <c r="A321" t="s">
        <v>0</v>
      </c>
      <c r="B321">
        <v>43</v>
      </c>
      <c r="C321" t="s">
        <v>15</v>
      </c>
      <c r="D321" t="s">
        <v>6</v>
      </c>
      <c r="E321" t="s">
        <v>17</v>
      </c>
      <c r="F321">
        <v>0</v>
      </c>
      <c r="G321">
        <v>0</v>
      </c>
      <c r="H321">
        <v>0</v>
      </c>
      <c r="I321">
        <v>1</v>
      </c>
      <c r="J321">
        <v>1</v>
      </c>
      <c r="K321">
        <v>0.1</v>
      </c>
    </row>
    <row r="322" spans="1:11" x14ac:dyDescent="0.2">
      <c r="A322" t="s">
        <v>0</v>
      </c>
      <c r="B322">
        <v>43</v>
      </c>
      <c r="C322" t="s">
        <v>23</v>
      </c>
      <c r="D322" t="s">
        <v>33</v>
      </c>
      <c r="E322" t="s">
        <v>34</v>
      </c>
      <c r="F322">
        <v>0</v>
      </c>
      <c r="G322">
        <v>0</v>
      </c>
      <c r="H322">
        <v>0</v>
      </c>
      <c r="I322">
        <v>1</v>
      </c>
      <c r="J322">
        <v>1</v>
      </c>
      <c r="K322">
        <v>0.1</v>
      </c>
    </row>
    <row r="323" spans="1:11" x14ac:dyDescent="0.2">
      <c r="A323" t="s">
        <v>0</v>
      </c>
      <c r="B323">
        <v>43</v>
      </c>
      <c r="C323" t="s">
        <v>23</v>
      </c>
      <c r="D323" t="s">
        <v>2</v>
      </c>
      <c r="E323" t="s">
        <v>26</v>
      </c>
      <c r="F323">
        <v>0</v>
      </c>
      <c r="G323">
        <v>0</v>
      </c>
      <c r="H323">
        <v>0</v>
      </c>
      <c r="I323">
        <v>1</v>
      </c>
      <c r="J323">
        <v>1</v>
      </c>
      <c r="K323">
        <v>0.1</v>
      </c>
    </row>
    <row r="324" spans="1:11" x14ac:dyDescent="0.2">
      <c r="A324" t="s">
        <v>0</v>
      </c>
      <c r="B324">
        <v>43</v>
      </c>
      <c r="C324" t="s">
        <v>27</v>
      </c>
      <c r="D324" t="s">
        <v>2</v>
      </c>
      <c r="E324" t="s">
        <v>83</v>
      </c>
      <c r="F324">
        <v>2</v>
      </c>
      <c r="G324">
        <v>0</v>
      </c>
      <c r="H324">
        <v>0</v>
      </c>
      <c r="I324">
        <v>0</v>
      </c>
      <c r="J324">
        <v>2</v>
      </c>
      <c r="K324">
        <v>2</v>
      </c>
    </row>
    <row r="325" spans="1:11" x14ac:dyDescent="0.2">
      <c r="A325" t="s">
        <v>0</v>
      </c>
      <c r="B325">
        <v>43</v>
      </c>
      <c r="C325" t="s">
        <v>27</v>
      </c>
      <c r="D325" t="s">
        <v>6</v>
      </c>
      <c r="E325" t="s">
        <v>83</v>
      </c>
      <c r="F325">
        <v>2</v>
      </c>
      <c r="G325">
        <v>0</v>
      </c>
      <c r="H325">
        <v>0</v>
      </c>
      <c r="I325">
        <v>0</v>
      </c>
      <c r="J325">
        <v>2</v>
      </c>
      <c r="K325">
        <v>2</v>
      </c>
    </row>
    <row r="326" spans="1:11" x14ac:dyDescent="0.2">
      <c r="A326" t="s">
        <v>0</v>
      </c>
      <c r="B326">
        <v>44</v>
      </c>
      <c r="C326" t="s">
        <v>4</v>
      </c>
      <c r="D326" t="s">
        <v>2</v>
      </c>
      <c r="E326" t="s">
        <v>32</v>
      </c>
      <c r="F326">
        <v>0</v>
      </c>
      <c r="G326">
        <v>0</v>
      </c>
      <c r="H326">
        <v>0</v>
      </c>
      <c r="I326">
        <v>1</v>
      </c>
      <c r="J326">
        <v>1</v>
      </c>
      <c r="K326">
        <v>0.1</v>
      </c>
    </row>
    <row r="327" spans="1:11" x14ac:dyDescent="0.2">
      <c r="A327" t="s">
        <v>0</v>
      </c>
      <c r="B327">
        <v>44</v>
      </c>
      <c r="C327" t="s">
        <v>15</v>
      </c>
      <c r="D327" t="s">
        <v>2</v>
      </c>
      <c r="E327" t="s">
        <v>38</v>
      </c>
      <c r="F327">
        <v>0</v>
      </c>
      <c r="G327">
        <v>0</v>
      </c>
      <c r="H327">
        <v>2</v>
      </c>
      <c r="I327">
        <v>0</v>
      </c>
      <c r="J327">
        <v>2</v>
      </c>
      <c r="K327">
        <v>1</v>
      </c>
    </row>
    <row r="328" spans="1:11" x14ac:dyDescent="0.2">
      <c r="A328" t="s">
        <v>0</v>
      </c>
      <c r="B328">
        <v>44</v>
      </c>
      <c r="C328" t="s">
        <v>23</v>
      </c>
      <c r="D328" t="s">
        <v>33</v>
      </c>
      <c r="E328" t="s">
        <v>34</v>
      </c>
      <c r="F328">
        <v>0</v>
      </c>
      <c r="G328">
        <v>0</v>
      </c>
      <c r="H328">
        <v>1</v>
      </c>
      <c r="I328">
        <v>0</v>
      </c>
      <c r="J328">
        <v>1</v>
      </c>
      <c r="K328">
        <v>0.6</v>
      </c>
    </row>
    <row r="329" spans="1:11" x14ac:dyDescent="0.2">
      <c r="A329" t="s">
        <v>0</v>
      </c>
      <c r="B329">
        <v>44</v>
      </c>
      <c r="C329" t="s">
        <v>27</v>
      </c>
      <c r="D329" t="s">
        <v>6</v>
      </c>
      <c r="E329" t="s">
        <v>84</v>
      </c>
      <c r="F329">
        <v>0</v>
      </c>
      <c r="G329">
        <v>1</v>
      </c>
      <c r="H329">
        <v>0</v>
      </c>
      <c r="I329">
        <v>0</v>
      </c>
      <c r="J329">
        <v>1</v>
      </c>
      <c r="K329">
        <v>0.75</v>
      </c>
    </row>
    <row r="330" spans="1:11" x14ac:dyDescent="0.2">
      <c r="A330" t="s">
        <v>0</v>
      </c>
      <c r="B330">
        <v>44</v>
      </c>
      <c r="C330" t="s">
        <v>27</v>
      </c>
      <c r="D330" t="s">
        <v>6</v>
      </c>
      <c r="E330" t="s">
        <v>85</v>
      </c>
      <c r="F330">
        <v>0</v>
      </c>
      <c r="G330">
        <v>0</v>
      </c>
      <c r="H330">
        <v>1</v>
      </c>
      <c r="I330">
        <v>0</v>
      </c>
      <c r="J330">
        <v>1</v>
      </c>
      <c r="K330">
        <v>0.5</v>
      </c>
    </row>
    <row r="331" spans="1:11" x14ac:dyDescent="0.2">
      <c r="A331" t="s">
        <v>0</v>
      </c>
      <c r="B331">
        <v>44</v>
      </c>
      <c r="C331" t="s">
        <v>27</v>
      </c>
      <c r="D331" t="s">
        <v>2</v>
      </c>
      <c r="E331" t="s">
        <v>86</v>
      </c>
      <c r="F331">
        <v>0</v>
      </c>
      <c r="G331">
        <v>0</v>
      </c>
      <c r="H331">
        <v>0</v>
      </c>
      <c r="I331">
        <v>1</v>
      </c>
      <c r="J331">
        <v>1</v>
      </c>
      <c r="K331">
        <v>0.1</v>
      </c>
    </row>
    <row r="332" spans="1:11" x14ac:dyDescent="0.2">
      <c r="A332" t="s">
        <v>0</v>
      </c>
      <c r="B332">
        <v>44</v>
      </c>
      <c r="C332" t="s">
        <v>27</v>
      </c>
      <c r="D332" t="s">
        <v>2</v>
      </c>
      <c r="E332" t="s">
        <v>73</v>
      </c>
      <c r="F332">
        <v>0</v>
      </c>
      <c r="G332">
        <v>0</v>
      </c>
      <c r="H332">
        <v>0</v>
      </c>
      <c r="I332">
        <v>1</v>
      </c>
      <c r="J332">
        <v>1</v>
      </c>
      <c r="K332">
        <v>0.1</v>
      </c>
    </row>
    <row r="333" spans="1:11" x14ac:dyDescent="0.2">
      <c r="A333" t="s">
        <v>0</v>
      </c>
      <c r="B333">
        <v>44</v>
      </c>
      <c r="C333" t="s">
        <v>27</v>
      </c>
      <c r="D333" t="s">
        <v>2</v>
      </c>
      <c r="E333" t="s">
        <v>83</v>
      </c>
      <c r="F333">
        <v>0</v>
      </c>
      <c r="G333">
        <v>0</v>
      </c>
      <c r="H333">
        <v>2</v>
      </c>
      <c r="I333">
        <v>1</v>
      </c>
      <c r="J333">
        <v>3</v>
      </c>
      <c r="K333">
        <v>1.1000000000000001</v>
      </c>
    </row>
    <row r="334" spans="1:11" x14ac:dyDescent="0.2">
      <c r="A334" t="s">
        <v>0</v>
      </c>
      <c r="B334">
        <v>44</v>
      </c>
      <c r="C334" t="s">
        <v>27</v>
      </c>
      <c r="D334" t="s">
        <v>6</v>
      </c>
      <c r="E334" t="s">
        <v>83</v>
      </c>
      <c r="F334">
        <v>0</v>
      </c>
      <c r="G334">
        <v>0</v>
      </c>
      <c r="H334">
        <v>2</v>
      </c>
      <c r="I334">
        <v>1</v>
      </c>
      <c r="J334">
        <v>3</v>
      </c>
      <c r="K334">
        <v>1.1000000000000001</v>
      </c>
    </row>
    <row r="335" spans="1:11" x14ac:dyDescent="0.2">
      <c r="A335" t="s">
        <v>0</v>
      </c>
      <c r="B335">
        <v>45</v>
      </c>
      <c r="C335" t="s">
        <v>4</v>
      </c>
      <c r="D335" t="s">
        <v>33</v>
      </c>
      <c r="E335" t="s">
        <v>36</v>
      </c>
      <c r="F335">
        <v>0</v>
      </c>
      <c r="G335">
        <v>1</v>
      </c>
      <c r="H335">
        <v>0</v>
      </c>
      <c r="I335">
        <v>0</v>
      </c>
      <c r="J335">
        <v>1</v>
      </c>
      <c r="K335">
        <v>0.75</v>
      </c>
    </row>
    <row r="336" spans="1:11" x14ac:dyDescent="0.2">
      <c r="A336" t="s">
        <v>0</v>
      </c>
      <c r="B336">
        <v>45</v>
      </c>
      <c r="C336" t="s">
        <v>27</v>
      </c>
      <c r="D336" t="s">
        <v>6</v>
      </c>
      <c r="E336" t="s">
        <v>84</v>
      </c>
      <c r="F336">
        <v>0</v>
      </c>
      <c r="G336">
        <v>0</v>
      </c>
      <c r="H336">
        <v>1</v>
      </c>
      <c r="I336">
        <v>0</v>
      </c>
      <c r="J336">
        <v>1</v>
      </c>
      <c r="K336">
        <v>0.5</v>
      </c>
    </row>
    <row r="337" spans="1:11" x14ac:dyDescent="0.2">
      <c r="A337" t="s">
        <v>0</v>
      </c>
      <c r="B337">
        <v>45</v>
      </c>
      <c r="C337" t="s">
        <v>27</v>
      </c>
      <c r="D337" t="s">
        <v>2</v>
      </c>
      <c r="E337" t="s">
        <v>86</v>
      </c>
      <c r="F337">
        <v>0</v>
      </c>
      <c r="G337">
        <v>0</v>
      </c>
      <c r="H337">
        <v>0</v>
      </c>
      <c r="I337">
        <v>1</v>
      </c>
      <c r="J337">
        <v>1</v>
      </c>
      <c r="K337">
        <v>0.1</v>
      </c>
    </row>
    <row r="338" spans="1:11" x14ac:dyDescent="0.2">
      <c r="A338" t="s">
        <v>0</v>
      </c>
      <c r="B338">
        <v>45</v>
      </c>
      <c r="C338" t="s">
        <v>27</v>
      </c>
      <c r="D338" t="s">
        <v>2</v>
      </c>
      <c r="E338" t="s">
        <v>83</v>
      </c>
      <c r="F338">
        <v>0</v>
      </c>
      <c r="G338">
        <v>0</v>
      </c>
      <c r="H338">
        <v>2</v>
      </c>
      <c r="I338">
        <v>1</v>
      </c>
      <c r="J338">
        <v>3</v>
      </c>
      <c r="K338">
        <v>1.1000000000000001</v>
      </c>
    </row>
    <row r="339" spans="1:11" x14ac:dyDescent="0.2">
      <c r="A339" t="s">
        <v>0</v>
      </c>
      <c r="B339">
        <v>45</v>
      </c>
      <c r="C339" t="s">
        <v>27</v>
      </c>
      <c r="D339" t="s">
        <v>6</v>
      </c>
      <c r="E339" t="s">
        <v>83</v>
      </c>
      <c r="F339">
        <v>0</v>
      </c>
      <c r="G339">
        <v>0</v>
      </c>
      <c r="H339">
        <v>2</v>
      </c>
      <c r="I339">
        <v>1</v>
      </c>
      <c r="J339">
        <v>3</v>
      </c>
      <c r="K339">
        <v>1.1000000000000001</v>
      </c>
    </row>
    <row r="340" spans="1:11" x14ac:dyDescent="0.2">
      <c r="A340" t="s">
        <v>0</v>
      </c>
      <c r="B340">
        <v>45</v>
      </c>
      <c r="C340" t="s">
        <v>27</v>
      </c>
      <c r="D340" t="s">
        <v>2</v>
      </c>
      <c r="E340" t="s">
        <v>87</v>
      </c>
      <c r="F340">
        <v>0</v>
      </c>
      <c r="G340">
        <v>0</v>
      </c>
      <c r="H340">
        <v>1</v>
      </c>
      <c r="I340">
        <v>0</v>
      </c>
      <c r="J340">
        <v>1</v>
      </c>
      <c r="K340">
        <v>0.5</v>
      </c>
    </row>
    <row r="341" spans="1:11" x14ac:dyDescent="0.2">
      <c r="A341" t="s">
        <v>0</v>
      </c>
      <c r="B341">
        <v>46</v>
      </c>
      <c r="C341" t="s">
        <v>4</v>
      </c>
      <c r="D341" t="s">
        <v>2</v>
      </c>
      <c r="E341" t="s">
        <v>43</v>
      </c>
      <c r="F341">
        <v>0</v>
      </c>
      <c r="G341">
        <v>0</v>
      </c>
      <c r="H341">
        <v>4</v>
      </c>
      <c r="I341">
        <v>0</v>
      </c>
      <c r="J341">
        <v>4</v>
      </c>
      <c r="K341">
        <v>2</v>
      </c>
    </row>
    <row r="342" spans="1:11" x14ac:dyDescent="0.2">
      <c r="A342" t="s">
        <v>0</v>
      </c>
      <c r="B342">
        <v>46</v>
      </c>
      <c r="C342" t="s">
        <v>4</v>
      </c>
      <c r="D342" t="s">
        <v>33</v>
      </c>
      <c r="E342" t="s">
        <v>44</v>
      </c>
      <c r="F342">
        <v>0</v>
      </c>
      <c r="G342">
        <v>1</v>
      </c>
      <c r="H342">
        <v>0</v>
      </c>
      <c r="I342">
        <v>0</v>
      </c>
      <c r="J342">
        <v>1</v>
      </c>
      <c r="K342">
        <v>0.75</v>
      </c>
    </row>
    <row r="343" spans="1:11" x14ac:dyDescent="0.2">
      <c r="A343" t="s">
        <v>0</v>
      </c>
      <c r="B343">
        <v>46</v>
      </c>
      <c r="C343" t="s">
        <v>1</v>
      </c>
      <c r="D343" t="s">
        <v>6</v>
      </c>
      <c r="E343" t="s">
        <v>44</v>
      </c>
      <c r="F343">
        <v>0</v>
      </c>
      <c r="G343">
        <v>1</v>
      </c>
      <c r="H343">
        <v>0</v>
      </c>
      <c r="I343">
        <v>0</v>
      </c>
      <c r="J343">
        <v>1</v>
      </c>
      <c r="K343">
        <v>0.75</v>
      </c>
    </row>
    <row r="344" spans="1:11" x14ac:dyDescent="0.2">
      <c r="A344" t="s">
        <v>0</v>
      </c>
      <c r="B344">
        <v>46</v>
      </c>
      <c r="C344" t="s">
        <v>15</v>
      </c>
      <c r="D344" t="s">
        <v>2</v>
      </c>
      <c r="E344" t="s">
        <v>38</v>
      </c>
      <c r="F344">
        <v>0</v>
      </c>
      <c r="G344">
        <v>0</v>
      </c>
      <c r="H344">
        <v>1</v>
      </c>
      <c r="I344">
        <v>0</v>
      </c>
      <c r="J344">
        <v>1</v>
      </c>
      <c r="K344">
        <v>0.5</v>
      </c>
    </row>
    <row r="345" spans="1:11" x14ac:dyDescent="0.2">
      <c r="A345" t="s">
        <v>0</v>
      </c>
      <c r="B345">
        <v>46</v>
      </c>
      <c r="C345" t="s">
        <v>15</v>
      </c>
      <c r="D345" t="s">
        <v>2</v>
      </c>
      <c r="E345" t="s">
        <v>46</v>
      </c>
      <c r="F345">
        <v>0</v>
      </c>
      <c r="G345">
        <v>0</v>
      </c>
      <c r="H345">
        <v>3</v>
      </c>
      <c r="I345">
        <v>0</v>
      </c>
      <c r="J345">
        <v>3</v>
      </c>
      <c r="K345">
        <v>1.5</v>
      </c>
    </row>
    <row r="346" spans="1:11" x14ac:dyDescent="0.2">
      <c r="A346" t="s">
        <v>0</v>
      </c>
      <c r="B346">
        <v>46</v>
      </c>
      <c r="C346" t="s">
        <v>18</v>
      </c>
      <c r="D346" t="s">
        <v>2</v>
      </c>
      <c r="E346" t="s">
        <v>21</v>
      </c>
      <c r="F346">
        <v>0</v>
      </c>
      <c r="G346">
        <v>0</v>
      </c>
      <c r="H346">
        <v>0</v>
      </c>
      <c r="I346">
        <v>1</v>
      </c>
      <c r="J346">
        <v>1</v>
      </c>
      <c r="K346">
        <v>0.1</v>
      </c>
    </row>
    <row r="347" spans="1:11" x14ac:dyDescent="0.2">
      <c r="A347" t="s">
        <v>0</v>
      </c>
      <c r="B347">
        <v>46</v>
      </c>
      <c r="C347" t="s">
        <v>18</v>
      </c>
      <c r="D347" t="s">
        <v>2</v>
      </c>
      <c r="E347" t="s">
        <v>57</v>
      </c>
      <c r="F347">
        <v>0</v>
      </c>
      <c r="G347">
        <v>0</v>
      </c>
      <c r="H347">
        <v>0</v>
      </c>
      <c r="I347">
        <v>2</v>
      </c>
      <c r="J347">
        <v>2</v>
      </c>
      <c r="K347">
        <v>0.2</v>
      </c>
    </row>
    <row r="348" spans="1:11" x14ac:dyDescent="0.2">
      <c r="A348" t="s">
        <v>0</v>
      </c>
      <c r="B348">
        <v>46</v>
      </c>
      <c r="C348" t="s">
        <v>18</v>
      </c>
      <c r="D348" t="s">
        <v>6</v>
      </c>
      <c r="E348" t="s">
        <v>57</v>
      </c>
      <c r="F348">
        <v>0</v>
      </c>
      <c r="G348">
        <v>0</v>
      </c>
      <c r="H348">
        <v>0</v>
      </c>
      <c r="I348">
        <v>2</v>
      </c>
      <c r="J348">
        <v>2</v>
      </c>
      <c r="K348">
        <v>0.2</v>
      </c>
    </row>
    <row r="349" spans="1:11" x14ac:dyDescent="0.2">
      <c r="A349" t="s">
        <v>0</v>
      </c>
      <c r="B349">
        <v>46</v>
      </c>
      <c r="C349" t="s">
        <v>23</v>
      </c>
      <c r="D349" t="s">
        <v>6</v>
      </c>
      <c r="E349" t="s">
        <v>44</v>
      </c>
      <c r="F349">
        <v>0</v>
      </c>
      <c r="G349">
        <v>1</v>
      </c>
      <c r="H349">
        <v>0</v>
      </c>
      <c r="I349">
        <v>0</v>
      </c>
      <c r="J349">
        <v>1</v>
      </c>
      <c r="K349">
        <v>0.75</v>
      </c>
    </row>
    <row r="350" spans="1:11" x14ac:dyDescent="0.2">
      <c r="A350" t="s">
        <v>0</v>
      </c>
      <c r="B350">
        <v>46</v>
      </c>
      <c r="C350" t="s">
        <v>27</v>
      </c>
      <c r="D350" t="s">
        <v>6</v>
      </c>
      <c r="E350" t="s">
        <v>72</v>
      </c>
      <c r="F350">
        <v>0</v>
      </c>
      <c r="G350">
        <v>0</v>
      </c>
      <c r="H350">
        <v>1</v>
      </c>
      <c r="I350">
        <v>0</v>
      </c>
      <c r="J350">
        <v>1</v>
      </c>
      <c r="K350">
        <v>0.5</v>
      </c>
    </row>
    <row r="351" spans="1:11" x14ac:dyDescent="0.2">
      <c r="A351" t="s">
        <v>0</v>
      </c>
      <c r="B351">
        <v>47</v>
      </c>
      <c r="C351" t="s">
        <v>4</v>
      </c>
      <c r="D351" t="s">
        <v>2</v>
      </c>
      <c r="E351" t="s">
        <v>70</v>
      </c>
      <c r="F351">
        <v>1</v>
      </c>
      <c r="G351">
        <v>0</v>
      </c>
      <c r="H351">
        <v>0</v>
      </c>
      <c r="I351">
        <v>0</v>
      </c>
      <c r="J351">
        <v>1</v>
      </c>
      <c r="K351">
        <v>1</v>
      </c>
    </row>
    <row r="352" spans="1:11" x14ac:dyDescent="0.2">
      <c r="A352" t="s">
        <v>0</v>
      </c>
      <c r="B352">
        <v>47</v>
      </c>
      <c r="C352" t="s">
        <v>4</v>
      </c>
      <c r="D352" t="s">
        <v>2</v>
      </c>
      <c r="E352" t="s">
        <v>32</v>
      </c>
      <c r="F352">
        <v>0</v>
      </c>
      <c r="G352">
        <v>0</v>
      </c>
      <c r="H352">
        <v>0</v>
      </c>
      <c r="I352">
        <v>1</v>
      </c>
      <c r="J352">
        <v>1</v>
      </c>
      <c r="K352">
        <v>0.1</v>
      </c>
    </row>
    <row r="353" spans="1:11" x14ac:dyDescent="0.2">
      <c r="A353" t="s">
        <v>0</v>
      </c>
      <c r="B353">
        <v>47</v>
      </c>
      <c r="C353" t="s">
        <v>11</v>
      </c>
      <c r="D353" t="s">
        <v>2</v>
      </c>
      <c r="E353" t="s">
        <v>66</v>
      </c>
      <c r="F353">
        <v>0</v>
      </c>
      <c r="G353">
        <v>0</v>
      </c>
      <c r="H353">
        <v>1</v>
      </c>
      <c r="I353">
        <v>0</v>
      </c>
      <c r="J353">
        <v>1</v>
      </c>
      <c r="K353">
        <v>0.5</v>
      </c>
    </row>
    <row r="354" spans="1:11" x14ac:dyDescent="0.2">
      <c r="A354" t="s">
        <v>0</v>
      </c>
      <c r="B354">
        <v>47</v>
      </c>
      <c r="C354" t="s">
        <v>15</v>
      </c>
      <c r="D354" t="s">
        <v>2</v>
      </c>
      <c r="E354" t="s">
        <v>38</v>
      </c>
      <c r="F354">
        <v>0</v>
      </c>
      <c r="G354">
        <v>0</v>
      </c>
      <c r="H354">
        <v>1</v>
      </c>
      <c r="I354">
        <v>0</v>
      </c>
      <c r="J354">
        <v>1</v>
      </c>
      <c r="K354">
        <v>0.5</v>
      </c>
    </row>
    <row r="355" spans="1:11" x14ac:dyDescent="0.2">
      <c r="A355" t="s">
        <v>0</v>
      </c>
      <c r="B355">
        <v>47</v>
      </c>
      <c r="C355" t="s">
        <v>15</v>
      </c>
      <c r="D355" t="s">
        <v>2</v>
      </c>
      <c r="E355" t="s">
        <v>66</v>
      </c>
      <c r="F355">
        <v>0</v>
      </c>
      <c r="G355">
        <v>0</v>
      </c>
      <c r="H355">
        <v>1</v>
      </c>
      <c r="I355">
        <v>0</v>
      </c>
      <c r="J355">
        <v>1</v>
      </c>
      <c r="K355">
        <v>0.5</v>
      </c>
    </row>
    <row r="356" spans="1:11" x14ac:dyDescent="0.2">
      <c r="A356" t="s">
        <v>0</v>
      </c>
      <c r="B356">
        <v>47</v>
      </c>
      <c r="C356" t="s">
        <v>23</v>
      </c>
      <c r="D356" t="s">
        <v>33</v>
      </c>
      <c r="E356" t="s">
        <v>34</v>
      </c>
      <c r="F356">
        <v>0</v>
      </c>
      <c r="G356">
        <v>0</v>
      </c>
      <c r="H356">
        <v>1</v>
      </c>
      <c r="I356">
        <v>0</v>
      </c>
      <c r="J356">
        <v>1</v>
      </c>
      <c r="K356">
        <v>0.6</v>
      </c>
    </row>
    <row r="357" spans="1:11" x14ac:dyDescent="0.2">
      <c r="A357" t="s">
        <v>0</v>
      </c>
      <c r="B357">
        <v>48</v>
      </c>
      <c r="C357" t="s">
        <v>4</v>
      </c>
      <c r="D357" t="s">
        <v>2</v>
      </c>
      <c r="E357" t="s">
        <v>32</v>
      </c>
      <c r="F357">
        <v>0</v>
      </c>
      <c r="G357">
        <v>0</v>
      </c>
      <c r="H357">
        <v>0</v>
      </c>
      <c r="I357">
        <v>1</v>
      </c>
      <c r="J357">
        <v>1</v>
      </c>
      <c r="K357">
        <v>0.1</v>
      </c>
    </row>
    <row r="358" spans="1:11" x14ac:dyDescent="0.2">
      <c r="A358" t="s">
        <v>0</v>
      </c>
      <c r="B358">
        <v>48</v>
      </c>
      <c r="C358" t="s">
        <v>11</v>
      </c>
      <c r="D358" t="s">
        <v>2</v>
      </c>
      <c r="E358" t="s">
        <v>66</v>
      </c>
      <c r="F358">
        <v>1</v>
      </c>
      <c r="G358">
        <v>0</v>
      </c>
      <c r="H358">
        <v>0</v>
      </c>
      <c r="I358">
        <v>0</v>
      </c>
      <c r="J358">
        <v>1</v>
      </c>
      <c r="K358">
        <v>1</v>
      </c>
    </row>
    <row r="359" spans="1:11" x14ac:dyDescent="0.2">
      <c r="A359" t="s">
        <v>0</v>
      </c>
      <c r="B359">
        <v>48</v>
      </c>
      <c r="C359" t="s">
        <v>11</v>
      </c>
      <c r="D359" t="s">
        <v>2</v>
      </c>
      <c r="E359" t="s">
        <v>88</v>
      </c>
      <c r="F359">
        <v>0</v>
      </c>
      <c r="G359">
        <v>0</v>
      </c>
      <c r="H359">
        <v>1</v>
      </c>
      <c r="I359">
        <v>0</v>
      </c>
      <c r="J359">
        <v>1</v>
      </c>
      <c r="K359">
        <v>0.5</v>
      </c>
    </row>
    <row r="360" spans="1:11" x14ac:dyDescent="0.2">
      <c r="A360" t="s">
        <v>0</v>
      </c>
      <c r="B360">
        <v>48</v>
      </c>
      <c r="C360" t="s">
        <v>1</v>
      </c>
      <c r="D360" t="s">
        <v>2</v>
      </c>
      <c r="E360" t="s">
        <v>3</v>
      </c>
      <c r="F360">
        <v>1</v>
      </c>
      <c r="G360">
        <v>0</v>
      </c>
      <c r="H360">
        <v>2</v>
      </c>
      <c r="I360">
        <v>0</v>
      </c>
      <c r="J360">
        <v>3</v>
      </c>
      <c r="K360">
        <v>2</v>
      </c>
    </row>
    <row r="361" spans="1:11" x14ac:dyDescent="0.2">
      <c r="A361" t="s">
        <v>0</v>
      </c>
      <c r="B361">
        <v>48</v>
      </c>
      <c r="C361" t="s">
        <v>15</v>
      </c>
      <c r="D361" t="s">
        <v>2</v>
      </c>
      <c r="E361" t="s">
        <v>66</v>
      </c>
      <c r="F361">
        <v>1</v>
      </c>
      <c r="G361">
        <v>0</v>
      </c>
      <c r="H361">
        <v>0</v>
      </c>
      <c r="I361">
        <v>0</v>
      </c>
      <c r="J361">
        <v>1</v>
      </c>
      <c r="K361">
        <v>1</v>
      </c>
    </row>
    <row r="362" spans="1:11" x14ac:dyDescent="0.2">
      <c r="A362" t="s">
        <v>0</v>
      </c>
      <c r="B362">
        <v>48</v>
      </c>
      <c r="C362" t="s">
        <v>15</v>
      </c>
      <c r="D362" t="s">
        <v>2</v>
      </c>
      <c r="E362" t="s">
        <v>77</v>
      </c>
      <c r="F362">
        <v>0</v>
      </c>
      <c r="G362">
        <v>0</v>
      </c>
      <c r="H362">
        <v>0</v>
      </c>
      <c r="I362">
        <v>2</v>
      </c>
      <c r="J362">
        <v>2</v>
      </c>
      <c r="K362">
        <v>0.2</v>
      </c>
    </row>
    <row r="363" spans="1:11" x14ac:dyDescent="0.2">
      <c r="A363" t="s">
        <v>0</v>
      </c>
      <c r="B363">
        <v>48</v>
      </c>
      <c r="C363" t="s">
        <v>18</v>
      </c>
      <c r="D363" t="s">
        <v>2</v>
      </c>
      <c r="E363" t="s">
        <v>21</v>
      </c>
      <c r="F363">
        <v>0</v>
      </c>
      <c r="G363">
        <v>0</v>
      </c>
      <c r="H363">
        <v>0</v>
      </c>
      <c r="I363">
        <v>1</v>
      </c>
      <c r="J363">
        <v>1</v>
      </c>
      <c r="K363">
        <v>0.1</v>
      </c>
    </row>
    <row r="364" spans="1:11" x14ac:dyDescent="0.2">
      <c r="A364" t="s">
        <v>0</v>
      </c>
      <c r="B364">
        <v>48</v>
      </c>
      <c r="C364" t="s">
        <v>23</v>
      </c>
      <c r="D364" t="s">
        <v>2</v>
      </c>
      <c r="E364" t="s">
        <v>89</v>
      </c>
      <c r="F364">
        <v>0</v>
      </c>
      <c r="G364">
        <v>0</v>
      </c>
      <c r="H364">
        <v>1</v>
      </c>
      <c r="I364">
        <v>0</v>
      </c>
      <c r="J364">
        <v>1</v>
      </c>
      <c r="K364">
        <v>0.5</v>
      </c>
    </row>
    <row r="365" spans="1:11" x14ac:dyDescent="0.2">
      <c r="A365" t="s">
        <v>0</v>
      </c>
      <c r="B365">
        <v>48</v>
      </c>
      <c r="C365" t="s">
        <v>23</v>
      </c>
      <c r="D365" t="s">
        <v>33</v>
      </c>
      <c r="E365" t="s">
        <v>34</v>
      </c>
      <c r="F365">
        <v>0</v>
      </c>
      <c r="G365">
        <v>0</v>
      </c>
      <c r="H365">
        <v>1</v>
      </c>
      <c r="I365">
        <v>0</v>
      </c>
      <c r="J365">
        <v>1</v>
      </c>
      <c r="K365">
        <v>0.6</v>
      </c>
    </row>
    <row r="366" spans="1:11" x14ac:dyDescent="0.2">
      <c r="A366" t="s">
        <v>0</v>
      </c>
      <c r="B366">
        <v>49</v>
      </c>
      <c r="C366" t="s">
        <v>4</v>
      </c>
      <c r="D366" t="s">
        <v>2</v>
      </c>
      <c r="E366" t="s">
        <v>75</v>
      </c>
      <c r="F366">
        <v>2</v>
      </c>
      <c r="G366">
        <v>0</v>
      </c>
      <c r="H366">
        <v>0</v>
      </c>
      <c r="I366">
        <v>0</v>
      </c>
      <c r="J366">
        <v>2</v>
      </c>
      <c r="K366">
        <v>2</v>
      </c>
    </row>
    <row r="367" spans="1:11" x14ac:dyDescent="0.2">
      <c r="A367" t="s">
        <v>0</v>
      </c>
      <c r="B367">
        <v>49</v>
      </c>
      <c r="C367" t="s">
        <v>4</v>
      </c>
      <c r="D367" t="s">
        <v>2</v>
      </c>
      <c r="E367" t="s">
        <v>80</v>
      </c>
      <c r="F367">
        <v>1</v>
      </c>
      <c r="G367">
        <v>0</v>
      </c>
      <c r="H367">
        <v>0</v>
      </c>
      <c r="I367">
        <v>0</v>
      </c>
      <c r="J367">
        <v>1</v>
      </c>
      <c r="K367">
        <v>1</v>
      </c>
    </row>
    <row r="368" spans="1:11" x14ac:dyDescent="0.2">
      <c r="A368" t="s">
        <v>0</v>
      </c>
      <c r="B368">
        <v>49</v>
      </c>
      <c r="C368" t="s">
        <v>4</v>
      </c>
      <c r="D368" t="s">
        <v>6</v>
      </c>
      <c r="E368" t="s">
        <v>80</v>
      </c>
      <c r="F368">
        <v>1</v>
      </c>
      <c r="G368">
        <v>0</v>
      </c>
      <c r="H368">
        <v>0</v>
      </c>
      <c r="I368">
        <v>0</v>
      </c>
      <c r="J368">
        <v>1</v>
      </c>
      <c r="K368">
        <v>1</v>
      </c>
    </row>
    <row r="369" spans="1:11" x14ac:dyDescent="0.2">
      <c r="A369" t="s">
        <v>0</v>
      </c>
      <c r="B369">
        <v>49</v>
      </c>
      <c r="C369" t="s">
        <v>4</v>
      </c>
      <c r="D369" t="s">
        <v>2</v>
      </c>
      <c r="E369" t="s">
        <v>43</v>
      </c>
      <c r="F369">
        <v>0</v>
      </c>
      <c r="G369">
        <v>1</v>
      </c>
      <c r="H369">
        <v>0</v>
      </c>
      <c r="I369">
        <v>1</v>
      </c>
      <c r="J369">
        <v>2</v>
      </c>
      <c r="K369">
        <v>0.85</v>
      </c>
    </row>
    <row r="370" spans="1:11" x14ac:dyDescent="0.2">
      <c r="A370" t="s">
        <v>0</v>
      </c>
      <c r="B370">
        <v>49</v>
      </c>
      <c r="C370" t="s">
        <v>4</v>
      </c>
      <c r="D370" t="s">
        <v>2</v>
      </c>
      <c r="E370" t="s">
        <v>32</v>
      </c>
      <c r="F370">
        <v>0</v>
      </c>
      <c r="G370">
        <v>0</v>
      </c>
      <c r="H370">
        <v>0</v>
      </c>
      <c r="I370">
        <v>1</v>
      </c>
      <c r="J370">
        <v>1</v>
      </c>
      <c r="K370">
        <v>0.1</v>
      </c>
    </row>
    <row r="371" spans="1:11" x14ac:dyDescent="0.2">
      <c r="A371" t="s">
        <v>0</v>
      </c>
      <c r="B371">
        <v>49</v>
      </c>
      <c r="C371" t="s">
        <v>11</v>
      </c>
      <c r="D371" t="s">
        <v>2</v>
      </c>
      <c r="E371" t="s">
        <v>90</v>
      </c>
      <c r="F371">
        <v>0</v>
      </c>
      <c r="G371">
        <v>0</v>
      </c>
      <c r="H371">
        <v>0</v>
      </c>
      <c r="I371">
        <v>1</v>
      </c>
      <c r="J371">
        <v>1</v>
      </c>
      <c r="K371">
        <v>0.1</v>
      </c>
    </row>
    <row r="372" spans="1:11" x14ac:dyDescent="0.2">
      <c r="A372" t="s">
        <v>0</v>
      </c>
      <c r="B372">
        <v>49</v>
      </c>
      <c r="C372" t="s">
        <v>11</v>
      </c>
      <c r="D372" t="s">
        <v>2</v>
      </c>
      <c r="E372" t="s">
        <v>76</v>
      </c>
      <c r="F372">
        <v>0</v>
      </c>
      <c r="G372">
        <v>0</v>
      </c>
      <c r="H372">
        <v>0</v>
      </c>
      <c r="I372">
        <v>1</v>
      </c>
      <c r="J372">
        <v>1</v>
      </c>
      <c r="K372">
        <v>0.1</v>
      </c>
    </row>
    <row r="373" spans="1:11" x14ac:dyDescent="0.2">
      <c r="A373" t="s">
        <v>0</v>
      </c>
      <c r="B373">
        <v>49</v>
      </c>
      <c r="C373" t="s">
        <v>11</v>
      </c>
      <c r="D373" t="s">
        <v>2</v>
      </c>
      <c r="E373" t="s">
        <v>88</v>
      </c>
      <c r="F373">
        <v>0</v>
      </c>
      <c r="G373">
        <v>0</v>
      </c>
      <c r="H373">
        <v>1</v>
      </c>
      <c r="I373">
        <v>0</v>
      </c>
      <c r="J373">
        <v>1</v>
      </c>
      <c r="K373">
        <v>0.5</v>
      </c>
    </row>
    <row r="374" spans="1:11" x14ac:dyDescent="0.2">
      <c r="A374" t="s">
        <v>0</v>
      </c>
      <c r="B374">
        <v>49</v>
      </c>
      <c r="C374" t="s">
        <v>15</v>
      </c>
      <c r="D374" t="s">
        <v>2</v>
      </c>
      <c r="E374" t="s">
        <v>80</v>
      </c>
      <c r="F374">
        <v>1</v>
      </c>
      <c r="G374">
        <v>0</v>
      </c>
      <c r="H374">
        <v>0</v>
      </c>
      <c r="I374">
        <v>0</v>
      </c>
      <c r="J374">
        <v>1</v>
      </c>
      <c r="K374">
        <v>1</v>
      </c>
    </row>
    <row r="375" spans="1:11" x14ac:dyDescent="0.2">
      <c r="A375" t="s">
        <v>0</v>
      </c>
      <c r="B375">
        <v>49</v>
      </c>
      <c r="C375" t="s">
        <v>18</v>
      </c>
      <c r="D375" t="s">
        <v>2</v>
      </c>
      <c r="E375" t="s">
        <v>90</v>
      </c>
      <c r="F375">
        <v>0</v>
      </c>
      <c r="G375">
        <v>0</v>
      </c>
      <c r="H375">
        <v>0</v>
      </c>
      <c r="I375">
        <v>1</v>
      </c>
      <c r="J375">
        <v>1</v>
      </c>
      <c r="K375">
        <v>0.1</v>
      </c>
    </row>
    <row r="376" spans="1:11" x14ac:dyDescent="0.2">
      <c r="A376" t="s">
        <v>0</v>
      </c>
      <c r="B376">
        <v>49</v>
      </c>
      <c r="C376" t="s">
        <v>23</v>
      </c>
      <c r="D376" t="s">
        <v>2</v>
      </c>
      <c r="E376" t="s">
        <v>89</v>
      </c>
      <c r="F376">
        <v>0</v>
      </c>
      <c r="G376">
        <v>0</v>
      </c>
      <c r="H376">
        <v>1</v>
      </c>
      <c r="I376">
        <v>0</v>
      </c>
      <c r="J376">
        <v>1</v>
      </c>
      <c r="K376">
        <v>0.5</v>
      </c>
    </row>
    <row r="377" spans="1:11" x14ac:dyDescent="0.2">
      <c r="A377" t="s">
        <v>0</v>
      </c>
      <c r="B377">
        <v>49</v>
      </c>
      <c r="C377" t="s">
        <v>23</v>
      </c>
      <c r="D377" t="s">
        <v>33</v>
      </c>
      <c r="E377" t="s">
        <v>34</v>
      </c>
      <c r="F377">
        <v>0</v>
      </c>
      <c r="G377">
        <v>0</v>
      </c>
      <c r="H377">
        <v>1</v>
      </c>
      <c r="I377">
        <v>0</v>
      </c>
      <c r="J377">
        <v>1</v>
      </c>
      <c r="K377">
        <v>0.6</v>
      </c>
    </row>
    <row r="378" spans="1:11" x14ac:dyDescent="0.2">
      <c r="A378" t="s">
        <v>0</v>
      </c>
      <c r="B378">
        <v>49</v>
      </c>
      <c r="C378" t="s">
        <v>27</v>
      </c>
      <c r="D378" t="s">
        <v>6</v>
      </c>
      <c r="E378" t="s">
        <v>72</v>
      </c>
      <c r="F378">
        <v>0</v>
      </c>
      <c r="G378">
        <v>0</v>
      </c>
      <c r="H378">
        <v>2</v>
      </c>
      <c r="I378">
        <v>0</v>
      </c>
      <c r="J378">
        <v>2</v>
      </c>
      <c r="K378">
        <v>1</v>
      </c>
    </row>
    <row r="379" spans="1:11" x14ac:dyDescent="0.2">
      <c r="A379" t="s">
        <v>0</v>
      </c>
      <c r="B379">
        <v>49</v>
      </c>
      <c r="C379" t="s">
        <v>27</v>
      </c>
      <c r="D379" t="s">
        <v>2</v>
      </c>
      <c r="E379" t="s">
        <v>83</v>
      </c>
      <c r="F379">
        <v>0</v>
      </c>
      <c r="G379">
        <v>0</v>
      </c>
      <c r="H379">
        <v>2</v>
      </c>
      <c r="I379">
        <v>0</v>
      </c>
      <c r="J379">
        <v>2</v>
      </c>
      <c r="K379">
        <v>1</v>
      </c>
    </row>
    <row r="380" spans="1:11" x14ac:dyDescent="0.2">
      <c r="A380" t="s">
        <v>0</v>
      </c>
      <c r="B380">
        <v>49</v>
      </c>
      <c r="C380" t="s">
        <v>27</v>
      </c>
      <c r="D380" t="s">
        <v>6</v>
      </c>
      <c r="E380" t="s">
        <v>83</v>
      </c>
      <c r="F380">
        <v>0</v>
      </c>
      <c r="G380">
        <v>0</v>
      </c>
      <c r="H380">
        <v>2</v>
      </c>
      <c r="I380">
        <v>0</v>
      </c>
      <c r="J380">
        <v>2</v>
      </c>
      <c r="K380">
        <v>1</v>
      </c>
    </row>
    <row r="381" spans="1:11" x14ac:dyDescent="0.2">
      <c r="A381" t="s">
        <v>0</v>
      </c>
      <c r="B381">
        <v>50</v>
      </c>
      <c r="C381" t="s">
        <v>4</v>
      </c>
      <c r="D381" t="s">
        <v>2</v>
      </c>
      <c r="E381" t="s">
        <v>32</v>
      </c>
      <c r="F381">
        <v>1</v>
      </c>
      <c r="G381">
        <v>0</v>
      </c>
      <c r="H381">
        <v>0</v>
      </c>
      <c r="I381">
        <v>0</v>
      </c>
      <c r="J381">
        <v>1</v>
      </c>
      <c r="K381">
        <v>1</v>
      </c>
    </row>
    <row r="382" spans="1:11" x14ac:dyDescent="0.2">
      <c r="A382" t="s">
        <v>0</v>
      </c>
      <c r="B382">
        <v>50</v>
      </c>
      <c r="C382" t="s">
        <v>11</v>
      </c>
      <c r="D382" t="s">
        <v>2</v>
      </c>
      <c r="E382" t="s">
        <v>88</v>
      </c>
      <c r="F382">
        <v>0</v>
      </c>
      <c r="G382">
        <v>0</v>
      </c>
      <c r="H382">
        <v>0</v>
      </c>
      <c r="I382">
        <v>1</v>
      </c>
      <c r="J382">
        <v>1</v>
      </c>
      <c r="K382">
        <v>0.1</v>
      </c>
    </row>
    <row r="383" spans="1:11" x14ac:dyDescent="0.2">
      <c r="A383" t="s">
        <v>0</v>
      </c>
      <c r="B383">
        <v>50</v>
      </c>
      <c r="C383" t="s">
        <v>15</v>
      </c>
      <c r="D383" t="s">
        <v>2</v>
      </c>
      <c r="E383" t="s">
        <v>38</v>
      </c>
      <c r="F383">
        <v>0</v>
      </c>
      <c r="G383">
        <v>0</v>
      </c>
      <c r="H383">
        <v>4</v>
      </c>
      <c r="I383">
        <v>0</v>
      </c>
      <c r="J383">
        <v>4</v>
      </c>
      <c r="K383">
        <v>2</v>
      </c>
    </row>
    <row r="384" spans="1:11" x14ac:dyDescent="0.2">
      <c r="A384" t="s">
        <v>0</v>
      </c>
      <c r="B384">
        <v>50</v>
      </c>
      <c r="C384" t="s">
        <v>18</v>
      </c>
      <c r="D384" t="s">
        <v>2</v>
      </c>
      <c r="E384" t="s">
        <v>20</v>
      </c>
      <c r="F384">
        <v>0</v>
      </c>
      <c r="G384">
        <v>0</v>
      </c>
      <c r="H384">
        <v>1</v>
      </c>
      <c r="I384">
        <v>0</v>
      </c>
      <c r="J384">
        <v>1</v>
      </c>
      <c r="K384">
        <v>0.5</v>
      </c>
    </row>
    <row r="385" spans="1:11" x14ac:dyDescent="0.2">
      <c r="A385" t="s">
        <v>0</v>
      </c>
      <c r="B385">
        <v>50</v>
      </c>
      <c r="C385" t="s">
        <v>18</v>
      </c>
      <c r="D385" t="s">
        <v>6</v>
      </c>
      <c r="E385" t="s">
        <v>39</v>
      </c>
      <c r="F385">
        <v>0</v>
      </c>
      <c r="G385">
        <v>0</v>
      </c>
      <c r="H385">
        <v>0</v>
      </c>
      <c r="I385">
        <v>1</v>
      </c>
      <c r="J385">
        <v>1</v>
      </c>
      <c r="K385">
        <v>0.1</v>
      </c>
    </row>
    <row r="386" spans="1:11" x14ac:dyDescent="0.2">
      <c r="A386" t="s">
        <v>0</v>
      </c>
      <c r="B386">
        <v>50</v>
      </c>
      <c r="C386" t="s">
        <v>23</v>
      </c>
      <c r="D386" t="s">
        <v>33</v>
      </c>
      <c r="E386" t="s">
        <v>34</v>
      </c>
      <c r="F386">
        <v>0</v>
      </c>
      <c r="G386">
        <v>1</v>
      </c>
      <c r="H386">
        <v>0</v>
      </c>
      <c r="I386">
        <v>0</v>
      </c>
      <c r="J386">
        <v>1</v>
      </c>
      <c r="K386">
        <v>0.75</v>
      </c>
    </row>
    <row r="387" spans="1:11" x14ac:dyDescent="0.2">
      <c r="A387" t="s">
        <v>0</v>
      </c>
      <c r="B387">
        <v>50</v>
      </c>
      <c r="C387" t="s">
        <v>27</v>
      </c>
      <c r="D387" t="s">
        <v>33</v>
      </c>
      <c r="E387" t="s">
        <v>91</v>
      </c>
      <c r="F387">
        <v>0</v>
      </c>
      <c r="G387">
        <v>0</v>
      </c>
      <c r="H387">
        <v>1</v>
      </c>
      <c r="I387">
        <v>0</v>
      </c>
      <c r="J387">
        <v>1</v>
      </c>
      <c r="K387">
        <v>0.5</v>
      </c>
    </row>
    <row r="388" spans="1:11" x14ac:dyDescent="0.2">
      <c r="A388" t="s">
        <v>0</v>
      </c>
      <c r="B388">
        <v>51</v>
      </c>
      <c r="C388" t="s">
        <v>4</v>
      </c>
      <c r="D388" t="s">
        <v>2</v>
      </c>
      <c r="E388" t="s">
        <v>7</v>
      </c>
      <c r="F388">
        <v>0</v>
      </c>
      <c r="G388">
        <v>1</v>
      </c>
      <c r="H388">
        <v>0</v>
      </c>
      <c r="I388">
        <v>0</v>
      </c>
      <c r="J388">
        <v>1</v>
      </c>
      <c r="K388">
        <v>0.75</v>
      </c>
    </row>
    <row r="389" spans="1:11" x14ac:dyDescent="0.2">
      <c r="A389" t="s">
        <v>0</v>
      </c>
      <c r="B389">
        <v>51</v>
      </c>
      <c r="C389" t="s">
        <v>11</v>
      </c>
      <c r="D389" t="s">
        <v>2</v>
      </c>
      <c r="E389" t="s">
        <v>90</v>
      </c>
      <c r="F389">
        <v>0</v>
      </c>
      <c r="G389">
        <v>0</v>
      </c>
      <c r="H389">
        <v>1</v>
      </c>
      <c r="I389">
        <v>0</v>
      </c>
      <c r="J389">
        <v>1</v>
      </c>
      <c r="K389">
        <v>0.5</v>
      </c>
    </row>
    <row r="390" spans="1:11" x14ac:dyDescent="0.2">
      <c r="A390" t="s">
        <v>0</v>
      </c>
      <c r="B390">
        <v>51</v>
      </c>
      <c r="C390" t="s">
        <v>1</v>
      </c>
      <c r="D390" t="s">
        <v>2</v>
      </c>
      <c r="E390" t="s">
        <v>92</v>
      </c>
      <c r="F390">
        <v>0</v>
      </c>
      <c r="G390">
        <v>0</v>
      </c>
      <c r="H390">
        <v>0</v>
      </c>
      <c r="I390">
        <v>1</v>
      </c>
      <c r="J390">
        <v>1</v>
      </c>
      <c r="K390">
        <v>0.1</v>
      </c>
    </row>
    <row r="391" spans="1:11" x14ac:dyDescent="0.2">
      <c r="A391" t="s">
        <v>0</v>
      </c>
      <c r="B391">
        <v>51</v>
      </c>
      <c r="C391" t="s">
        <v>15</v>
      </c>
      <c r="D391" t="s">
        <v>2</v>
      </c>
      <c r="E391" t="s">
        <v>16</v>
      </c>
      <c r="F391">
        <v>0</v>
      </c>
      <c r="G391">
        <v>0</v>
      </c>
      <c r="H391">
        <v>0</v>
      </c>
      <c r="I391">
        <v>6</v>
      </c>
      <c r="J391">
        <v>6</v>
      </c>
      <c r="K391">
        <v>0.6</v>
      </c>
    </row>
    <row r="392" spans="1:11" x14ac:dyDescent="0.2">
      <c r="A392" t="s">
        <v>0</v>
      </c>
      <c r="B392">
        <v>51</v>
      </c>
      <c r="C392" t="s">
        <v>18</v>
      </c>
      <c r="D392" t="s">
        <v>6</v>
      </c>
      <c r="E392" t="s">
        <v>19</v>
      </c>
      <c r="F392">
        <v>0</v>
      </c>
      <c r="G392">
        <v>0</v>
      </c>
      <c r="H392">
        <v>3</v>
      </c>
      <c r="I392">
        <v>0</v>
      </c>
      <c r="J392">
        <v>3</v>
      </c>
      <c r="K392">
        <v>1.5</v>
      </c>
    </row>
    <row r="393" spans="1:11" x14ac:dyDescent="0.2">
      <c r="A393" t="s">
        <v>0</v>
      </c>
      <c r="B393">
        <v>51</v>
      </c>
      <c r="C393" t="s">
        <v>18</v>
      </c>
      <c r="D393" t="s">
        <v>2</v>
      </c>
      <c r="E393" t="s">
        <v>21</v>
      </c>
      <c r="F393">
        <v>0</v>
      </c>
      <c r="G393">
        <v>0</v>
      </c>
      <c r="H393">
        <v>0</v>
      </c>
      <c r="I393">
        <v>1</v>
      </c>
      <c r="J393">
        <v>1</v>
      </c>
      <c r="K393">
        <v>0.1</v>
      </c>
    </row>
    <row r="394" spans="1:11" x14ac:dyDescent="0.2">
      <c r="A394" t="s">
        <v>0</v>
      </c>
      <c r="B394">
        <v>51</v>
      </c>
      <c r="C394" t="s">
        <v>18</v>
      </c>
      <c r="D394" t="s">
        <v>6</v>
      </c>
      <c r="E394" t="s">
        <v>93</v>
      </c>
      <c r="F394">
        <v>0</v>
      </c>
      <c r="G394">
        <v>0</v>
      </c>
      <c r="H394">
        <v>0</v>
      </c>
      <c r="I394">
        <v>1</v>
      </c>
      <c r="J394">
        <v>1</v>
      </c>
      <c r="K394">
        <v>0.1</v>
      </c>
    </row>
    <row r="395" spans="1:11" x14ac:dyDescent="0.2">
      <c r="A395" t="s">
        <v>0</v>
      </c>
      <c r="B395">
        <v>51</v>
      </c>
      <c r="C395" t="s">
        <v>18</v>
      </c>
      <c r="D395" t="s">
        <v>2</v>
      </c>
      <c r="E395" t="s">
        <v>90</v>
      </c>
      <c r="F395">
        <v>0</v>
      </c>
      <c r="G395">
        <v>0</v>
      </c>
      <c r="H395">
        <v>1</v>
      </c>
      <c r="I395">
        <v>0</v>
      </c>
      <c r="J395">
        <v>1</v>
      </c>
      <c r="K395">
        <v>0.5</v>
      </c>
    </row>
    <row r="396" spans="1:11" x14ac:dyDescent="0.2">
      <c r="A396" t="s">
        <v>0</v>
      </c>
      <c r="B396">
        <v>52</v>
      </c>
      <c r="C396" t="s">
        <v>4</v>
      </c>
      <c r="D396" t="s">
        <v>33</v>
      </c>
      <c r="E396" t="s">
        <v>36</v>
      </c>
      <c r="F396">
        <v>1</v>
      </c>
      <c r="G396">
        <v>0</v>
      </c>
      <c r="H396">
        <v>0</v>
      </c>
      <c r="I396">
        <v>0</v>
      </c>
      <c r="J396">
        <v>1</v>
      </c>
      <c r="K396">
        <v>1</v>
      </c>
    </row>
    <row r="397" spans="1:11" x14ac:dyDescent="0.2">
      <c r="A397" t="s">
        <v>0</v>
      </c>
      <c r="B397">
        <v>52</v>
      </c>
      <c r="C397" t="s">
        <v>4</v>
      </c>
      <c r="D397" t="s">
        <v>6</v>
      </c>
      <c r="E397" t="s">
        <v>45</v>
      </c>
      <c r="F397">
        <v>0</v>
      </c>
      <c r="G397">
        <v>0</v>
      </c>
      <c r="H397">
        <v>2</v>
      </c>
      <c r="I397">
        <v>0</v>
      </c>
      <c r="J397">
        <v>2</v>
      </c>
      <c r="K397">
        <v>1</v>
      </c>
    </row>
    <row r="398" spans="1:11" x14ac:dyDescent="0.2">
      <c r="A398" t="s">
        <v>0</v>
      </c>
      <c r="B398">
        <v>52</v>
      </c>
      <c r="C398" t="s">
        <v>4</v>
      </c>
      <c r="D398" t="s">
        <v>2</v>
      </c>
      <c r="E398" t="s">
        <v>48</v>
      </c>
      <c r="F398">
        <v>1</v>
      </c>
      <c r="G398">
        <v>0</v>
      </c>
      <c r="H398">
        <v>2</v>
      </c>
      <c r="I398">
        <v>0</v>
      </c>
      <c r="J398">
        <v>3</v>
      </c>
      <c r="K398">
        <v>2</v>
      </c>
    </row>
    <row r="399" spans="1:11" x14ac:dyDescent="0.2">
      <c r="A399" t="s">
        <v>0</v>
      </c>
      <c r="B399">
        <v>52</v>
      </c>
      <c r="C399" t="s">
        <v>4</v>
      </c>
      <c r="D399" t="s">
        <v>2</v>
      </c>
      <c r="E399" t="s">
        <v>7</v>
      </c>
      <c r="F399">
        <v>0</v>
      </c>
      <c r="G399">
        <v>2</v>
      </c>
      <c r="H399">
        <v>0</v>
      </c>
      <c r="I399">
        <v>0</v>
      </c>
      <c r="J399">
        <v>2</v>
      </c>
      <c r="K399">
        <v>1.5</v>
      </c>
    </row>
    <row r="400" spans="1:11" x14ac:dyDescent="0.2">
      <c r="A400" t="s">
        <v>0</v>
      </c>
      <c r="B400">
        <v>52</v>
      </c>
      <c r="C400" t="s">
        <v>4</v>
      </c>
      <c r="D400" t="s">
        <v>2</v>
      </c>
      <c r="E400" t="s">
        <v>53</v>
      </c>
      <c r="F400">
        <v>0</v>
      </c>
      <c r="G400">
        <v>0</v>
      </c>
      <c r="H400">
        <v>0</v>
      </c>
      <c r="I400">
        <v>1</v>
      </c>
      <c r="J400">
        <v>1</v>
      </c>
      <c r="K400">
        <v>0.1</v>
      </c>
    </row>
    <row r="401" spans="1:11" x14ac:dyDescent="0.2">
      <c r="A401" t="s">
        <v>0</v>
      </c>
      <c r="B401">
        <v>52</v>
      </c>
      <c r="C401" t="s">
        <v>1</v>
      </c>
      <c r="D401" t="s">
        <v>33</v>
      </c>
      <c r="E401" t="s">
        <v>45</v>
      </c>
      <c r="F401">
        <v>0</v>
      </c>
      <c r="G401">
        <v>0</v>
      </c>
      <c r="H401">
        <v>2</v>
      </c>
      <c r="I401">
        <v>0</v>
      </c>
      <c r="J401">
        <v>2</v>
      </c>
      <c r="K401">
        <v>1</v>
      </c>
    </row>
    <row r="402" spans="1:11" x14ac:dyDescent="0.2">
      <c r="A402" t="s">
        <v>0</v>
      </c>
      <c r="B402">
        <v>52</v>
      </c>
      <c r="C402" t="s">
        <v>1</v>
      </c>
      <c r="D402" t="s">
        <v>2</v>
      </c>
      <c r="E402" t="s">
        <v>94</v>
      </c>
      <c r="F402">
        <v>0</v>
      </c>
      <c r="G402">
        <v>0</v>
      </c>
      <c r="H402">
        <v>1</v>
      </c>
      <c r="I402">
        <v>0</v>
      </c>
      <c r="J402">
        <v>1</v>
      </c>
      <c r="K402">
        <v>0.5</v>
      </c>
    </row>
    <row r="403" spans="1:11" x14ac:dyDescent="0.2">
      <c r="A403" t="s">
        <v>0</v>
      </c>
      <c r="B403">
        <v>52</v>
      </c>
      <c r="C403" t="s">
        <v>1</v>
      </c>
      <c r="D403" t="s">
        <v>2</v>
      </c>
      <c r="E403" t="s">
        <v>48</v>
      </c>
      <c r="F403">
        <v>1</v>
      </c>
      <c r="G403">
        <v>0</v>
      </c>
      <c r="H403">
        <v>2</v>
      </c>
      <c r="I403">
        <v>0</v>
      </c>
      <c r="J403">
        <v>3</v>
      </c>
      <c r="K403">
        <v>2</v>
      </c>
    </row>
    <row r="404" spans="1:11" x14ac:dyDescent="0.2">
      <c r="A404" t="s">
        <v>0</v>
      </c>
      <c r="B404">
        <v>52</v>
      </c>
      <c r="C404" t="s">
        <v>15</v>
      </c>
      <c r="D404" t="s">
        <v>6</v>
      </c>
      <c r="E404" t="s">
        <v>94</v>
      </c>
      <c r="F404">
        <v>0</v>
      </c>
      <c r="G404">
        <v>0</v>
      </c>
      <c r="H404">
        <v>1</v>
      </c>
      <c r="I404">
        <v>0</v>
      </c>
      <c r="J404">
        <v>1</v>
      </c>
      <c r="K404">
        <v>0.5</v>
      </c>
    </row>
    <row r="405" spans="1:11" x14ac:dyDescent="0.2">
      <c r="A405" t="s">
        <v>0</v>
      </c>
      <c r="B405">
        <v>52</v>
      </c>
      <c r="C405" t="s">
        <v>15</v>
      </c>
      <c r="D405" t="s">
        <v>2</v>
      </c>
      <c r="E405" t="s">
        <v>48</v>
      </c>
      <c r="F405">
        <v>1</v>
      </c>
      <c r="G405">
        <v>0</v>
      </c>
      <c r="H405">
        <v>2</v>
      </c>
      <c r="I405">
        <v>0</v>
      </c>
      <c r="J405">
        <v>3</v>
      </c>
      <c r="K405">
        <v>2</v>
      </c>
    </row>
    <row r="406" spans="1:11" x14ac:dyDescent="0.2">
      <c r="A406" t="s">
        <v>0</v>
      </c>
      <c r="B406">
        <v>52</v>
      </c>
      <c r="C406" t="s">
        <v>23</v>
      </c>
      <c r="D406" t="s">
        <v>2</v>
      </c>
      <c r="E406" t="s">
        <v>48</v>
      </c>
      <c r="F406">
        <v>1</v>
      </c>
      <c r="G406">
        <v>0</v>
      </c>
      <c r="H406">
        <v>2</v>
      </c>
      <c r="I406">
        <v>0</v>
      </c>
      <c r="J406">
        <v>3</v>
      </c>
      <c r="K406">
        <v>2</v>
      </c>
    </row>
    <row r="407" spans="1:11" x14ac:dyDescent="0.2">
      <c r="A407" t="s">
        <v>0</v>
      </c>
      <c r="B407">
        <v>52</v>
      </c>
      <c r="C407" t="s">
        <v>27</v>
      </c>
      <c r="D407" t="s">
        <v>6</v>
      </c>
      <c r="E407" t="s">
        <v>55</v>
      </c>
      <c r="F407">
        <v>0</v>
      </c>
      <c r="G407">
        <v>0</v>
      </c>
      <c r="H407">
        <v>1</v>
      </c>
      <c r="I407">
        <v>0</v>
      </c>
      <c r="J407">
        <v>1</v>
      </c>
      <c r="K407">
        <v>0.5</v>
      </c>
    </row>
    <row r="408" spans="1:11" x14ac:dyDescent="0.2">
      <c r="A408" t="s">
        <v>0</v>
      </c>
      <c r="B408">
        <v>52</v>
      </c>
      <c r="C408" t="s">
        <v>27</v>
      </c>
      <c r="D408" t="s">
        <v>2</v>
      </c>
      <c r="E408" t="s">
        <v>42</v>
      </c>
      <c r="F408">
        <v>0</v>
      </c>
      <c r="G408">
        <v>0</v>
      </c>
      <c r="H408">
        <v>0</v>
      </c>
      <c r="I408">
        <v>1</v>
      </c>
      <c r="J408">
        <v>1</v>
      </c>
      <c r="K408">
        <v>0.1</v>
      </c>
    </row>
    <row r="409" spans="1:11" x14ac:dyDescent="0.2">
      <c r="A409" t="s">
        <v>0</v>
      </c>
      <c r="B409">
        <v>53</v>
      </c>
      <c r="C409" t="s">
        <v>4</v>
      </c>
      <c r="D409" t="s">
        <v>6</v>
      </c>
      <c r="E409" t="s">
        <v>45</v>
      </c>
      <c r="F409">
        <v>0</v>
      </c>
      <c r="G409">
        <v>1</v>
      </c>
      <c r="H409">
        <v>1</v>
      </c>
      <c r="I409">
        <v>1</v>
      </c>
      <c r="J409">
        <v>3</v>
      </c>
      <c r="K409">
        <v>1.35</v>
      </c>
    </row>
    <row r="410" spans="1:11" x14ac:dyDescent="0.2">
      <c r="A410" t="s">
        <v>0</v>
      </c>
      <c r="B410">
        <v>53</v>
      </c>
      <c r="C410" t="s">
        <v>4</v>
      </c>
      <c r="D410" t="s">
        <v>2</v>
      </c>
      <c r="E410" t="s">
        <v>48</v>
      </c>
      <c r="F410">
        <v>0</v>
      </c>
      <c r="G410">
        <v>0</v>
      </c>
      <c r="H410">
        <v>2</v>
      </c>
      <c r="I410">
        <v>0</v>
      </c>
      <c r="J410">
        <v>2</v>
      </c>
      <c r="K410">
        <v>1</v>
      </c>
    </row>
    <row r="411" spans="1:11" x14ac:dyDescent="0.2">
      <c r="A411" t="s">
        <v>0</v>
      </c>
      <c r="B411">
        <v>53</v>
      </c>
      <c r="C411" t="s">
        <v>4</v>
      </c>
      <c r="D411" t="s">
        <v>2</v>
      </c>
      <c r="E411" t="s">
        <v>70</v>
      </c>
      <c r="F411">
        <v>0</v>
      </c>
      <c r="G411">
        <v>2</v>
      </c>
      <c r="H411">
        <v>0</v>
      </c>
      <c r="I411">
        <v>0</v>
      </c>
      <c r="J411">
        <v>2</v>
      </c>
      <c r="K411">
        <v>1.5</v>
      </c>
    </row>
    <row r="412" spans="1:11" x14ac:dyDescent="0.2">
      <c r="A412" t="s">
        <v>0</v>
      </c>
      <c r="B412">
        <v>53</v>
      </c>
      <c r="C412" t="s">
        <v>4</v>
      </c>
      <c r="D412" t="s">
        <v>2</v>
      </c>
      <c r="E412" t="s">
        <v>9</v>
      </c>
      <c r="F412">
        <v>1</v>
      </c>
      <c r="G412">
        <v>0</v>
      </c>
      <c r="H412">
        <v>0</v>
      </c>
      <c r="I412">
        <v>0</v>
      </c>
      <c r="J412">
        <v>1</v>
      </c>
      <c r="K412">
        <v>1</v>
      </c>
    </row>
    <row r="413" spans="1:11" x14ac:dyDescent="0.2">
      <c r="A413" t="s">
        <v>0</v>
      </c>
      <c r="B413">
        <v>53</v>
      </c>
      <c r="C413" t="s">
        <v>1</v>
      </c>
      <c r="D413" t="s">
        <v>33</v>
      </c>
      <c r="E413" t="s">
        <v>45</v>
      </c>
      <c r="F413">
        <v>0</v>
      </c>
      <c r="G413">
        <v>1</v>
      </c>
      <c r="H413">
        <v>1</v>
      </c>
      <c r="I413">
        <v>1</v>
      </c>
      <c r="J413">
        <v>3</v>
      </c>
      <c r="K413">
        <v>1.35</v>
      </c>
    </row>
    <row r="414" spans="1:11" x14ac:dyDescent="0.2">
      <c r="A414" t="s">
        <v>0</v>
      </c>
      <c r="B414">
        <v>53</v>
      </c>
      <c r="C414" t="s">
        <v>1</v>
      </c>
      <c r="D414" t="s">
        <v>2</v>
      </c>
      <c r="E414" t="s">
        <v>48</v>
      </c>
      <c r="F414">
        <v>0</v>
      </c>
      <c r="G414">
        <v>0</v>
      </c>
      <c r="H414">
        <v>2</v>
      </c>
      <c r="I414">
        <v>0</v>
      </c>
      <c r="J414">
        <v>2</v>
      </c>
      <c r="K414">
        <v>1</v>
      </c>
    </row>
    <row r="415" spans="1:11" x14ac:dyDescent="0.2">
      <c r="A415" t="s">
        <v>0</v>
      </c>
      <c r="B415">
        <v>53</v>
      </c>
      <c r="C415" t="s">
        <v>15</v>
      </c>
      <c r="D415" t="s">
        <v>2</v>
      </c>
      <c r="E415" t="s">
        <v>48</v>
      </c>
      <c r="F415">
        <v>0</v>
      </c>
      <c r="G415">
        <v>0</v>
      </c>
      <c r="H415">
        <v>2</v>
      </c>
      <c r="I415">
        <v>0</v>
      </c>
      <c r="J415">
        <v>2</v>
      </c>
      <c r="K415">
        <v>1</v>
      </c>
    </row>
    <row r="416" spans="1:11" x14ac:dyDescent="0.2">
      <c r="A416" t="s">
        <v>0</v>
      </c>
      <c r="B416">
        <v>53</v>
      </c>
      <c r="C416" t="s">
        <v>18</v>
      </c>
      <c r="D416" t="s">
        <v>2</v>
      </c>
      <c r="E416" t="s">
        <v>54</v>
      </c>
      <c r="F416">
        <v>0</v>
      </c>
      <c r="G416">
        <v>1</v>
      </c>
      <c r="H416">
        <v>0</v>
      </c>
      <c r="I416">
        <v>0</v>
      </c>
      <c r="J416">
        <v>1</v>
      </c>
      <c r="K416">
        <v>0.75</v>
      </c>
    </row>
    <row r="417" spans="1:11" x14ac:dyDescent="0.2">
      <c r="A417" t="s">
        <v>0</v>
      </c>
      <c r="B417">
        <v>53</v>
      </c>
      <c r="C417" t="s">
        <v>23</v>
      </c>
      <c r="D417" t="s">
        <v>2</v>
      </c>
      <c r="E417" t="s">
        <v>48</v>
      </c>
      <c r="F417">
        <v>0</v>
      </c>
      <c r="G417">
        <v>0</v>
      </c>
      <c r="H417">
        <v>2</v>
      </c>
      <c r="I417">
        <v>0</v>
      </c>
      <c r="J417">
        <v>2</v>
      </c>
      <c r="K417">
        <v>1</v>
      </c>
    </row>
    <row r="418" spans="1:11" x14ac:dyDescent="0.2">
      <c r="A418" t="s">
        <v>0</v>
      </c>
      <c r="B418">
        <v>53</v>
      </c>
      <c r="C418" t="s">
        <v>27</v>
      </c>
      <c r="D418" t="s">
        <v>2</v>
      </c>
      <c r="E418" t="s">
        <v>42</v>
      </c>
      <c r="F418">
        <v>0</v>
      </c>
      <c r="G418">
        <v>0</v>
      </c>
      <c r="H418">
        <v>1</v>
      </c>
      <c r="I418">
        <v>0</v>
      </c>
      <c r="J418">
        <v>1</v>
      </c>
      <c r="K418">
        <v>0.5</v>
      </c>
    </row>
    <row r="419" spans="1:11" x14ac:dyDescent="0.2">
      <c r="A419" t="s">
        <v>0</v>
      </c>
      <c r="B419">
        <v>54</v>
      </c>
      <c r="C419" t="s">
        <v>4</v>
      </c>
      <c r="D419" t="s">
        <v>6</v>
      </c>
      <c r="E419" t="s">
        <v>45</v>
      </c>
      <c r="F419">
        <v>0</v>
      </c>
      <c r="G419">
        <v>1</v>
      </c>
      <c r="H419">
        <v>0</v>
      </c>
      <c r="I419">
        <v>0</v>
      </c>
      <c r="J419">
        <v>1</v>
      </c>
      <c r="K419">
        <v>0.75</v>
      </c>
    </row>
    <row r="420" spans="1:11" x14ac:dyDescent="0.2">
      <c r="A420" t="s">
        <v>0</v>
      </c>
      <c r="B420">
        <v>54</v>
      </c>
      <c r="C420" t="s">
        <v>4</v>
      </c>
      <c r="D420" t="s">
        <v>2</v>
      </c>
      <c r="E420" t="s">
        <v>48</v>
      </c>
      <c r="F420">
        <v>1</v>
      </c>
      <c r="G420">
        <v>0</v>
      </c>
      <c r="H420">
        <v>0</v>
      </c>
      <c r="I420">
        <v>0</v>
      </c>
      <c r="J420">
        <v>1</v>
      </c>
      <c r="K420">
        <v>1</v>
      </c>
    </row>
    <row r="421" spans="1:11" x14ac:dyDescent="0.2">
      <c r="A421" t="s">
        <v>0</v>
      </c>
      <c r="B421">
        <v>54</v>
      </c>
      <c r="C421" t="s">
        <v>4</v>
      </c>
      <c r="D421" t="s">
        <v>6</v>
      </c>
      <c r="E421" t="s">
        <v>10</v>
      </c>
      <c r="F421">
        <v>0</v>
      </c>
      <c r="G421">
        <v>1</v>
      </c>
      <c r="H421">
        <v>2</v>
      </c>
      <c r="I421">
        <v>0</v>
      </c>
      <c r="J421">
        <v>3</v>
      </c>
      <c r="K421">
        <v>1.75</v>
      </c>
    </row>
    <row r="422" spans="1:11" x14ac:dyDescent="0.2">
      <c r="A422" t="s">
        <v>0</v>
      </c>
      <c r="B422">
        <v>54</v>
      </c>
      <c r="C422" t="s">
        <v>4</v>
      </c>
      <c r="D422" t="s">
        <v>2</v>
      </c>
      <c r="E422" t="s">
        <v>32</v>
      </c>
      <c r="F422">
        <v>0</v>
      </c>
      <c r="G422">
        <v>0</v>
      </c>
      <c r="H422">
        <v>0</v>
      </c>
      <c r="I422">
        <v>1</v>
      </c>
      <c r="J422">
        <v>1</v>
      </c>
      <c r="K422">
        <v>0.1</v>
      </c>
    </row>
    <row r="423" spans="1:11" x14ac:dyDescent="0.2">
      <c r="A423" t="s">
        <v>0</v>
      </c>
      <c r="B423">
        <v>54</v>
      </c>
      <c r="C423" t="s">
        <v>11</v>
      </c>
      <c r="D423" t="s">
        <v>2</v>
      </c>
      <c r="E423" t="s">
        <v>66</v>
      </c>
      <c r="F423">
        <v>0</v>
      </c>
      <c r="G423">
        <v>0</v>
      </c>
      <c r="H423">
        <v>1</v>
      </c>
      <c r="I423">
        <v>0</v>
      </c>
      <c r="J423">
        <v>1</v>
      </c>
      <c r="K423">
        <v>0.5</v>
      </c>
    </row>
    <row r="424" spans="1:11" x14ac:dyDescent="0.2">
      <c r="A424" t="s">
        <v>0</v>
      </c>
      <c r="B424">
        <v>54</v>
      </c>
      <c r="C424" t="s">
        <v>1</v>
      </c>
      <c r="D424" t="s">
        <v>33</v>
      </c>
      <c r="E424" t="s">
        <v>45</v>
      </c>
      <c r="F424">
        <v>0</v>
      </c>
      <c r="G424">
        <v>1</v>
      </c>
      <c r="H424">
        <v>0</v>
      </c>
      <c r="I424">
        <v>0</v>
      </c>
      <c r="J424">
        <v>1</v>
      </c>
      <c r="K424">
        <v>0.75</v>
      </c>
    </row>
    <row r="425" spans="1:11" x14ac:dyDescent="0.2">
      <c r="A425" t="s">
        <v>0</v>
      </c>
      <c r="B425">
        <v>54</v>
      </c>
      <c r="C425" t="s">
        <v>1</v>
      </c>
      <c r="D425" t="s">
        <v>2</v>
      </c>
      <c r="E425" t="s">
        <v>48</v>
      </c>
      <c r="F425">
        <v>1</v>
      </c>
      <c r="G425">
        <v>0</v>
      </c>
      <c r="H425">
        <v>0</v>
      </c>
      <c r="I425">
        <v>0</v>
      </c>
      <c r="J425">
        <v>1</v>
      </c>
      <c r="K425">
        <v>1</v>
      </c>
    </row>
    <row r="426" spans="1:11" x14ac:dyDescent="0.2">
      <c r="A426" t="s">
        <v>0</v>
      </c>
      <c r="B426">
        <v>54</v>
      </c>
      <c r="C426" t="s">
        <v>15</v>
      </c>
      <c r="D426" t="s">
        <v>2</v>
      </c>
      <c r="E426" t="s">
        <v>66</v>
      </c>
      <c r="F426">
        <v>0</v>
      </c>
      <c r="G426">
        <v>0</v>
      </c>
      <c r="H426">
        <v>1</v>
      </c>
      <c r="I426">
        <v>0</v>
      </c>
      <c r="J426">
        <v>1</v>
      </c>
      <c r="K426">
        <v>0.5</v>
      </c>
    </row>
    <row r="427" spans="1:11" x14ac:dyDescent="0.2">
      <c r="A427" t="s">
        <v>0</v>
      </c>
      <c r="B427">
        <v>54</v>
      </c>
      <c r="C427" t="s">
        <v>15</v>
      </c>
      <c r="D427" t="s">
        <v>2</v>
      </c>
      <c r="E427" t="s">
        <v>48</v>
      </c>
      <c r="F427">
        <v>1</v>
      </c>
      <c r="G427">
        <v>0</v>
      </c>
      <c r="H427">
        <v>0</v>
      </c>
      <c r="I427">
        <v>0</v>
      </c>
      <c r="J427">
        <v>1</v>
      </c>
      <c r="K427">
        <v>1</v>
      </c>
    </row>
    <row r="428" spans="1:11" x14ac:dyDescent="0.2">
      <c r="A428" t="s">
        <v>0</v>
      </c>
      <c r="B428">
        <v>54</v>
      </c>
      <c r="C428" t="s">
        <v>18</v>
      </c>
      <c r="D428" t="s">
        <v>6</v>
      </c>
      <c r="E428" t="s">
        <v>39</v>
      </c>
      <c r="F428">
        <v>0</v>
      </c>
      <c r="G428">
        <v>0</v>
      </c>
      <c r="H428">
        <v>1</v>
      </c>
      <c r="I428">
        <v>0</v>
      </c>
      <c r="J428">
        <v>1</v>
      </c>
      <c r="K428">
        <v>0.5</v>
      </c>
    </row>
    <row r="429" spans="1:11" x14ac:dyDescent="0.2">
      <c r="A429" t="s">
        <v>0</v>
      </c>
      <c r="B429">
        <v>54</v>
      </c>
      <c r="C429" t="s">
        <v>23</v>
      </c>
      <c r="D429" t="s">
        <v>33</v>
      </c>
      <c r="E429" t="s">
        <v>34</v>
      </c>
      <c r="F429">
        <v>0</v>
      </c>
      <c r="G429">
        <v>0</v>
      </c>
      <c r="H429">
        <v>0</v>
      </c>
      <c r="I429">
        <v>1</v>
      </c>
      <c r="J429">
        <v>1</v>
      </c>
      <c r="K429">
        <v>0.1</v>
      </c>
    </row>
    <row r="430" spans="1:11" x14ac:dyDescent="0.2">
      <c r="A430" t="s">
        <v>0</v>
      </c>
      <c r="B430">
        <v>54</v>
      </c>
      <c r="C430" t="s">
        <v>23</v>
      </c>
      <c r="D430" t="s">
        <v>2</v>
      </c>
      <c r="E430" t="s">
        <v>48</v>
      </c>
      <c r="F430">
        <v>1</v>
      </c>
      <c r="G430">
        <v>0</v>
      </c>
      <c r="H430">
        <v>0</v>
      </c>
      <c r="I430">
        <v>0</v>
      </c>
      <c r="J430">
        <v>1</v>
      </c>
      <c r="K430">
        <v>1</v>
      </c>
    </row>
    <row r="431" spans="1:11" x14ac:dyDescent="0.2">
      <c r="A431" t="s">
        <v>0</v>
      </c>
      <c r="B431">
        <v>54</v>
      </c>
      <c r="C431" t="s">
        <v>23</v>
      </c>
      <c r="D431" t="s">
        <v>2</v>
      </c>
      <c r="E431" t="s">
        <v>10</v>
      </c>
      <c r="F431">
        <v>0</v>
      </c>
      <c r="G431">
        <v>1</v>
      </c>
      <c r="H431">
        <v>2</v>
      </c>
      <c r="I431">
        <v>0</v>
      </c>
      <c r="J431">
        <v>3</v>
      </c>
      <c r="K431">
        <v>1.75</v>
      </c>
    </row>
    <row r="432" spans="1:11" x14ac:dyDescent="0.2">
      <c r="A432" t="s">
        <v>0</v>
      </c>
      <c r="B432">
        <v>54</v>
      </c>
      <c r="C432" t="s">
        <v>23</v>
      </c>
      <c r="D432" t="s">
        <v>6</v>
      </c>
      <c r="E432" t="s">
        <v>25</v>
      </c>
      <c r="F432">
        <v>0</v>
      </c>
      <c r="G432">
        <v>1</v>
      </c>
      <c r="H432">
        <v>2</v>
      </c>
      <c r="I432">
        <v>0</v>
      </c>
      <c r="J432">
        <v>3</v>
      </c>
      <c r="K432">
        <v>1.75</v>
      </c>
    </row>
    <row r="433" spans="1:11" x14ac:dyDescent="0.2">
      <c r="A433" t="s">
        <v>0</v>
      </c>
      <c r="B433">
        <v>54</v>
      </c>
      <c r="C433" t="s">
        <v>27</v>
      </c>
      <c r="D433" t="s">
        <v>6</v>
      </c>
      <c r="E433" t="s">
        <v>55</v>
      </c>
      <c r="F433">
        <v>0</v>
      </c>
      <c r="G433">
        <v>0</v>
      </c>
      <c r="H433">
        <v>2</v>
      </c>
      <c r="I433">
        <v>0</v>
      </c>
      <c r="J433">
        <v>2</v>
      </c>
      <c r="K433">
        <v>1</v>
      </c>
    </row>
    <row r="434" spans="1:11" x14ac:dyDescent="0.2">
      <c r="A434" t="s">
        <v>0</v>
      </c>
      <c r="B434">
        <v>55</v>
      </c>
      <c r="C434" t="s">
        <v>4</v>
      </c>
      <c r="D434" t="s">
        <v>2</v>
      </c>
      <c r="E434" t="s">
        <v>9</v>
      </c>
      <c r="F434">
        <v>2</v>
      </c>
      <c r="G434">
        <v>0</v>
      </c>
      <c r="H434">
        <v>0</v>
      </c>
      <c r="I434">
        <v>0</v>
      </c>
      <c r="J434">
        <v>2</v>
      </c>
      <c r="K434">
        <v>2</v>
      </c>
    </row>
    <row r="435" spans="1:11" x14ac:dyDescent="0.2">
      <c r="A435" t="s">
        <v>0</v>
      </c>
      <c r="B435">
        <v>55</v>
      </c>
      <c r="C435" t="s">
        <v>4</v>
      </c>
      <c r="D435" t="s">
        <v>6</v>
      </c>
      <c r="E435" t="s">
        <v>10</v>
      </c>
      <c r="F435">
        <v>0</v>
      </c>
      <c r="G435">
        <v>1</v>
      </c>
      <c r="H435">
        <v>0</v>
      </c>
      <c r="I435">
        <v>0</v>
      </c>
      <c r="J435">
        <v>1</v>
      </c>
      <c r="K435">
        <v>0.75</v>
      </c>
    </row>
    <row r="436" spans="1:11" x14ac:dyDescent="0.2">
      <c r="A436" t="s">
        <v>0</v>
      </c>
      <c r="B436">
        <v>55</v>
      </c>
      <c r="C436" t="s">
        <v>1</v>
      </c>
      <c r="D436" t="s">
        <v>2</v>
      </c>
      <c r="E436" t="s">
        <v>92</v>
      </c>
      <c r="F436">
        <v>0</v>
      </c>
      <c r="G436">
        <v>0</v>
      </c>
      <c r="H436">
        <v>4</v>
      </c>
      <c r="I436">
        <v>0</v>
      </c>
      <c r="J436">
        <v>4</v>
      </c>
      <c r="K436">
        <v>2</v>
      </c>
    </row>
    <row r="437" spans="1:11" x14ac:dyDescent="0.2">
      <c r="A437" t="s">
        <v>0</v>
      </c>
      <c r="B437">
        <v>55</v>
      </c>
      <c r="C437" t="s">
        <v>15</v>
      </c>
      <c r="D437" t="s">
        <v>2</v>
      </c>
      <c r="E437" t="s">
        <v>16</v>
      </c>
      <c r="F437">
        <v>0</v>
      </c>
      <c r="G437">
        <v>0</v>
      </c>
      <c r="H437">
        <v>0</v>
      </c>
      <c r="I437">
        <v>1</v>
      </c>
      <c r="J437">
        <v>1</v>
      </c>
      <c r="K437">
        <v>0.1</v>
      </c>
    </row>
    <row r="438" spans="1:11" x14ac:dyDescent="0.2">
      <c r="A438" t="s">
        <v>0</v>
      </c>
      <c r="B438">
        <v>55</v>
      </c>
      <c r="C438" t="s">
        <v>18</v>
      </c>
      <c r="D438" t="s">
        <v>6</v>
      </c>
      <c r="E438" t="s">
        <v>93</v>
      </c>
      <c r="F438">
        <v>0</v>
      </c>
      <c r="G438">
        <v>0</v>
      </c>
      <c r="H438">
        <v>4</v>
      </c>
      <c r="I438">
        <v>0</v>
      </c>
      <c r="J438">
        <v>4</v>
      </c>
      <c r="K438">
        <v>2</v>
      </c>
    </row>
    <row r="439" spans="1:11" x14ac:dyDescent="0.2">
      <c r="A439" t="s">
        <v>0</v>
      </c>
      <c r="B439">
        <v>55</v>
      </c>
      <c r="C439" t="s">
        <v>18</v>
      </c>
      <c r="D439" t="s">
        <v>6</v>
      </c>
      <c r="E439" t="s">
        <v>22</v>
      </c>
      <c r="F439">
        <v>0</v>
      </c>
      <c r="G439">
        <v>0</v>
      </c>
      <c r="H439">
        <v>1</v>
      </c>
      <c r="I439">
        <v>0</v>
      </c>
      <c r="J439">
        <v>1</v>
      </c>
      <c r="K439">
        <v>0.5</v>
      </c>
    </row>
    <row r="440" spans="1:11" x14ac:dyDescent="0.2">
      <c r="A440" t="s">
        <v>0</v>
      </c>
      <c r="B440">
        <v>55</v>
      </c>
      <c r="C440" t="s">
        <v>23</v>
      </c>
      <c r="D440" t="s">
        <v>2</v>
      </c>
      <c r="E440" t="s">
        <v>10</v>
      </c>
      <c r="F440">
        <v>0</v>
      </c>
      <c r="G440">
        <v>1</v>
      </c>
      <c r="H440">
        <v>0</v>
      </c>
      <c r="I440">
        <v>0</v>
      </c>
      <c r="J440">
        <v>1</v>
      </c>
      <c r="K440">
        <v>0.75</v>
      </c>
    </row>
    <row r="441" spans="1:11" x14ac:dyDescent="0.2">
      <c r="A441" t="s">
        <v>0</v>
      </c>
      <c r="B441">
        <v>55</v>
      </c>
      <c r="C441" t="s">
        <v>23</v>
      </c>
      <c r="D441" t="s">
        <v>6</v>
      </c>
      <c r="E441" t="s">
        <v>25</v>
      </c>
      <c r="F441">
        <v>0</v>
      </c>
      <c r="G441">
        <v>1</v>
      </c>
      <c r="H441">
        <v>0</v>
      </c>
      <c r="I441">
        <v>0</v>
      </c>
      <c r="J441">
        <v>1</v>
      </c>
      <c r="K441">
        <v>0.75</v>
      </c>
    </row>
    <row r="442" spans="1:11" x14ac:dyDescent="0.2">
      <c r="A442" t="s">
        <v>0</v>
      </c>
      <c r="B442">
        <v>55</v>
      </c>
      <c r="C442" t="s">
        <v>27</v>
      </c>
      <c r="D442" t="s">
        <v>6</v>
      </c>
      <c r="E442" t="s">
        <v>55</v>
      </c>
      <c r="F442">
        <v>0</v>
      </c>
      <c r="G442">
        <v>0</v>
      </c>
      <c r="H442">
        <v>1</v>
      </c>
      <c r="I442">
        <v>0</v>
      </c>
      <c r="J442">
        <v>1</v>
      </c>
      <c r="K442">
        <v>0.5</v>
      </c>
    </row>
    <row r="443" spans="1:11" x14ac:dyDescent="0.2">
      <c r="A443" t="s">
        <v>0</v>
      </c>
      <c r="B443">
        <v>56</v>
      </c>
      <c r="C443" t="s">
        <v>4</v>
      </c>
      <c r="D443" t="s">
        <v>2</v>
      </c>
      <c r="E443" t="s">
        <v>32</v>
      </c>
      <c r="F443">
        <v>2</v>
      </c>
      <c r="G443">
        <v>0</v>
      </c>
      <c r="H443">
        <v>0</v>
      </c>
      <c r="I443">
        <v>1</v>
      </c>
      <c r="J443">
        <v>3</v>
      </c>
      <c r="K443">
        <v>2.1</v>
      </c>
    </row>
    <row r="444" spans="1:11" x14ac:dyDescent="0.2">
      <c r="A444" t="s">
        <v>0</v>
      </c>
      <c r="B444">
        <v>56</v>
      </c>
      <c r="C444" t="s">
        <v>23</v>
      </c>
      <c r="D444" t="s">
        <v>33</v>
      </c>
      <c r="E444" t="s">
        <v>34</v>
      </c>
      <c r="F444">
        <v>0</v>
      </c>
      <c r="G444">
        <v>2</v>
      </c>
      <c r="H444">
        <v>1</v>
      </c>
      <c r="I444">
        <v>0</v>
      </c>
      <c r="J444">
        <v>3</v>
      </c>
      <c r="K444">
        <v>2.1</v>
      </c>
    </row>
    <row r="445" spans="1:11" x14ac:dyDescent="0.2">
      <c r="A445" t="s">
        <v>0</v>
      </c>
      <c r="B445">
        <v>56</v>
      </c>
      <c r="C445" t="s">
        <v>27</v>
      </c>
      <c r="D445" t="s">
        <v>2</v>
      </c>
      <c r="E445" t="s">
        <v>42</v>
      </c>
      <c r="F445">
        <v>0</v>
      </c>
      <c r="G445">
        <v>1</v>
      </c>
      <c r="H445">
        <v>0</v>
      </c>
      <c r="I445">
        <v>0</v>
      </c>
      <c r="J445">
        <v>1</v>
      </c>
      <c r="K445">
        <v>0.75</v>
      </c>
    </row>
    <row r="446" spans="1:11" x14ac:dyDescent="0.2">
      <c r="A446" t="s">
        <v>0</v>
      </c>
      <c r="B446">
        <v>57</v>
      </c>
      <c r="C446" t="s">
        <v>4</v>
      </c>
      <c r="D446" t="s">
        <v>33</v>
      </c>
      <c r="E446" t="s">
        <v>36</v>
      </c>
      <c r="F446">
        <v>0</v>
      </c>
      <c r="G446">
        <v>1</v>
      </c>
      <c r="H446">
        <v>0</v>
      </c>
      <c r="I446">
        <v>0</v>
      </c>
      <c r="J446">
        <v>1</v>
      </c>
      <c r="K446">
        <v>0.75</v>
      </c>
    </row>
    <row r="447" spans="1:11" x14ac:dyDescent="0.2">
      <c r="A447" t="s">
        <v>0</v>
      </c>
      <c r="B447">
        <v>57</v>
      </c>
      <c r="C447" t="s">
        <v>4</v>
      </c>
      <c r="D447" t="s">
        <v>2</v>
      </c>
      <c r="E447" t="s">
        <v>48</v>
      </c>
      <c r="F447">
        <v>1</v>
      </c>
      <c r="G447">
        <v>0</v>
      </c>
      <c r="H447">
        <v>0</v>
      </c>
      <c r="I447">
        <v>0</v>
      </c>
      <c r="J447">
        <v>1</v>
      </c>
      <c r="K447">
        <v>1</v>
      </c>
    </row>
    <row r="448" spans="1:11" x14ac:dyDescent="0.2">
      <c r="A448" t="s">
        <v>0</v>
      </c>
      <c r="B448">
        <v>57</v>
      </c>
      <c r="C448" t="s">
        <v>4</v>
      </c>
      <c r="D448" t="s">
        <v>2</v>
      </c>
      <c r="E448" t="s">
        <v>9</v>
      </c>
      <c r="F448">
        <v>0</v>
      </c>
      <c r="G448">
        <v>0</v>
      </c>
      <c r="H448">
        <v>1</v>
      </c>
      <c r="I448">
        <v>0</v>
      </c>
      <c r="J448">
        <v>1</v>
      </c>
      <c r="K448">
        <v>0.5</v>
      </c>
    </row>
    <row r="449" spans="1:11" x14ac:dyDescent="0.2">
      <c r="A449" t="s">
        <v>0</v>
      </c>
      <c r="B449">
        <v>57</v>
      </c>
      <c r="C449" t="s">
        <v>4</v>
      </c>
      <c r="D449" t="s">
        <v>6</v>
      </c>
      <c r="E449" t="s">
        <v>10</v>
      </c>
      <c r="F449">
        <v>0</v>
      </c>
      <c r="G449">
        <v>0</v>
      </c>
      <c r="H449">
        <v>2</v>
      </c>
      <c r="I449">
        <v>0</v>
      </c>
      <c r="J449">
        <v>2</v>
      </c>
      <c r="K449">
        <v>1</v>
      </c>
    </row>
    <row r="450" spans="1:11" x14ac:dyDescent="0.2">
      <c r="A450" t="s">
        <v>0</v>
      </c>
      <c r="B450">
        <v>57</v>
      </c>
      <c r="C450" t="s">
        <v>4</v>
      </c>
      <c r="D450" t="s">
        <v>33</v>
      </c>
      <c r="E450" t="s">
        <v>44</v>
      </c>
      <c r="F450">
        <v>0</v>
      </c>
      <c r="G450">
        <v>1</v>
      </c>
      <c r="H450">
        <v>0</v>
      </c>
      <c r="I450">
        <v>0</v>
      </c>
      <c r="J450">
        <v>1</v>
      </c>
      <c r="K450">
        <v>0.75</v>
      </c>
    </row>
    <row r="451" spans="1:11" x14ac:dyDescent="0.2">
      <c r="A451" t="s">
        <v>0</v>
      </c>
      <c r="B451">
        <v>57</v>
      </c>
      <c r="C451" t="s">
        <v>1</v>
      </c>
      <c r="D451" t="s">
        <v>2</v>
      </c>
      <c r="E451" t="s">
        <v>48</v>
      </c>
      <c r="F451">
        <v>1</v>
      </c>
      <c r="G451">
        <v>0</v>
      </c>
      <c r="H451">
        <v>0</v>
      </c>
      <c r="I451">
        <v>0</v>
      </c>
      <c r="J451">
        <v>1</v>
      </c>
      <c r="K451">
        <v>1</v>
      </c>
    </row>
    <row r="452" spans="1:11" x14ac:dyDescent="0.2">
      <c r="A452" t="s">
        <v>0</v>
      </c>
      <c r="B452">
        <v>57</v>
      </c>
      <c r="C452" t="s">
        <v>1</v>
      </c>
      <c r="D452" t="s">
        <v>6</v>
      </c>
      <c r="E452" t="s">
        <v>44</v>
      </c>
      <c r="F452">
        <v>0</v>
      </c>
      <c r="G452">
        <v>1</v>
      </c>
      <c r="H452">
        <v>0</v>
      </c>
      <c r="I452">
        <v>0</v>
      </c>
      <c r="J452">
        <v>1</v>
      </c>
      <c r="K452">
        <v>0.75</v>
      </c>
    </row>
    <row r="453" spans="1:11" x14ac:dyDescent="0.2">
      <c r="A453" t="s">
        <v>0</v>
      </c>
      <c r="B453">
        <v>57</v>
      </c>
      <c r="C453" t="s">
        <v>15</v>
      </c>
      <c r="D453" t="s">
        <v>2</v>
      </c>
      <c r="E453" t="s">
        <v>48</v>
      </c>
      <c r="F453">
        <v>1</v>
      </c>
      <c r="G453">
        <v>0</v>
      </c>
      <c r="H453">
        <v>0</v>
      </c>
      <c r="I453">
        <v>0</v>
      </c>
      <c r="J453">
        <v>1</v>
      </c>
      <c r="K453">
        <v>1</v>
      </c>
    </row>
    <row r="454" spans="1:11" x14ac:dyDescent="0.2">
      <c r="A454" t="s">
        <v>0</v>
      </c>
      <c r="B454">
        <v>57</v>
      </c>
      <c r="C454" t="s">
        <v>18</v>
      </c>
      <c r="D454" t="s">
        <v>2</v>
      </c>
      <c r="E454" t="s">
        <v>21</v>
      </c>
      <c r="F454">
        <v>0</v>
      </c>
      <c r="G454">
        <v>0</v>
      </c>
      <c r="H454">
        <v>0</v>
      </c>
      <c r="I454">
        <v>1</v>
      </c>
      <c r="J454">
        <v>1</v>
      </c>
      <c r="K454">
        <v>0.1</v>
      </c>
    </row>
    <row r="455" spans="1:11" x14ac:dyDescent="0.2">
      <c r="A455" t="s">
        <v>0</v>
      </c>
      <c r="B455">
        <v>57</v>
      </c>
      <c r="C455" t="s">
        <v>23</v>
      </c>
      <c r="D455" t="s">
        <v>2</v>
      </c>
      <c r="E455" t="s">
        <v>48</v>
      </c>
      <c r="F455">
        <v>1</v>
      </c>
      <c r="G455">
        <v>0</v>
      </c>
      <c r="H455">
        <v>0</v>
      </c>
      <c r="I455">
        <v>0</v>
      </c>
      <c r="J455">
        <v>1</v>
      </c>
      <c r="K455">
        <v>1</v>
      </c>
    </row>
    <row r="456" spans="1:11" x14ac:dyDescent="0.2">
      <c r="A456" t="s">
        <v>0</v>
      </c>
      <c r="B456">
        <v>57</v>
      </c>
      <c r="C456" t="s">
        <v>23</v>
      </c>
      <c r="D456" t="s">
        <v>2</v>
      </c>
      <c r="E456" t="s">
        <v>10</v>
      </c>
      <c r="F456">
        <v>0</v>
      </c>
      <c r="G456">
        <v>0</v>
      </c>
      <c r="H456">
        <v>2</v>
      </c>
      <c r="I456">
        <v>0</v>
      </c>
      <c r="J456">
        <v>2</v>
      </c>
      <c r="K456">
        <v>1</v>
      </c>
    </row>
    <row r="457" spans="1:11" x14ac:dyDescent="0.2">
      <c r="A457" t="s">
        <v>0</v>
      </c>
      <c r="B457">
        <v>57</v>
      </c>
      <c r="C457" t="s">
        <v>23</v>
      </c>
      <c r="D457" t="s">
        <v>6</v>
      </c>
      <c r="E457" t="s">
        <v>25</v>
      </c>
      <c r="F457">
        <v>0</v>
      </c>
      <c r="G457">
        <v>0</v>
      </c>
      <c r="H457">
        <v>2</v>
      </c>
      <c r="I457">
        <v>0</v>
      </c>
      <c r="J457">
        <v>2</v>
      </c>
      <c r="K457">
        <v>1</v>
      </c>
    </row>
    <row r="458" spans="1:11" x14ac:dyDescent="0.2">
      <c r="A458" t="s">
        <v>0</v>
      </c>
      <c r="B458">
        <v>57</v>
      </c>
      <c r="C458" t="s">
        <v>23</v>
      </c>
      <c r="D458" t="s">
        <v>6</v>
      </c>
      <c r="E458" t="s">
        <v>44</v>
      </c>
      <c r="F458">
        <v>0</v>
      </c>
      <c r="G458">
        <v>1</v>
      </c>
      <c r="H458">
        <v>0</v>
      </c>
      <c r="I458">
        <v>0</v>
      </c>
      <c r="J458">
        <v>1</v>
      </c>
      <c r="K458">
        <v>0.75</v>
      </c>
    </row>
    <row r="459" spans="1:11" x14ac:dyDescent="0.2">
      <c r="A459" t="s">
        <v>0</v>
      </c>
      <c r="B459">
        <v>58</v>
      </c>
      <c r="C459" t="s">
        <v>4</v>
      </c>
      <c r="D459" t="s">
        <v>6</v>
      </c>
      <c r="E459" t="s">
        <v>45</v>
      </c>
      <c r="F459">
        <v>0</v>
      </c>
      <c r="G459">
        <v>0</v>
      </c>
      <c r="H459">
        <v>0</v>
      </c>
      <c r="I459">
        <v>1</v>
      </c>
      <c r="J459">
        <v>1</v>
      </c>
      <c r="K459">
        <v>0.1</v>
      </c>
    </row>
    <row r="460" spans="1:11" x14ac:dyDescent="0.2">
      <c r="A460" t="s">
        <v>0</v>
      </c>
      <c r="B460">
        <v>58</v>
      </c>
      <c r="C460" t="s">
        <v>1</v>
      </c>
      <c r="D460" t="s">
        <v>33</v>
      </c>
      <c r="E460" t="s">
        <v>45</v>
      </c>
      <c r="F460">
        <v>0</v>
      </c>
      <c r="G460">
        <v>0</v>
      </c>
      <c r="H460">
        <v>0</v>
      </c>
      <c r="I460">
        <v>1</v>
      </c>
      <c r="J460">
        <v>1</v>
      </c>
      <c r="K460">
        <v>0.1</v>
      </c>
    </row>
    <row r="461" spans="1:11" x14ac:dyDescent="0.2">
      <c r="A461" t="s">
        <v>0</v>
      </c>
      <c r="B461">
        <v>59</v>
      </c>
      <c r="C461" t="s">
        <v>4</v>
      </c>
      <c r="D461" t="s">
        <v>2</v>
      </c>
      <c r="E461" t="s">
        <v>5</v>
      </c>
      <c r="F461">
        <v>0</v>
      </c>
      <c r="G461">
        <v>0</v>
      </c>
      <c r="H461">
        <v>1</v>
      </c>
      <c r="I461">
        <v>0</v>
      </c>
      <c r="J461">
        <v>1</v>
      </c>
      <c r="K461">
        <v>0.5</v>
      </c>
    </row>
    <row r="462" spans="1:11" x14ac:dyDescent="0.2">
      <c r="A462" t="s">
        <v>0</v>
      </c>
      <c r="B462">
        <v>59</v>
      </c>
      <c r="C462" t="s">
        <v>4</v>
      </c>
      <c r="D462" t="s">
        <v>6</v>
      </c>
      <c r="E462" t="s">
        <v>5</v>
      </c>
      <c r="F462">
        <v>0</v>
      </c>
      <c r="G462">
        <v>0</v>
      </c>
      <c r="H462">
        <v>1</v>
      </c>
      <c r="I462">
        <v>0</v>
      </c>
      <c r="J462">
        <v>1</v>
      </c>
      <c r="K462">
        <v>0.5</v>
      </c>
    </row>
    <row r="463" spans="1:11" x14ac:dyDescent="0.2">
      <c r="A463" t="s">
        <v>0</v>
      </c>
      <c r="B463">
        <v>59</v>
      </c>
      <c r="C463" t="s">
        <v>4</v>
      </c>
      <c r="D463" t="s">
        <v>6</v>
      </c>
      <c r="E463" t="s">
        <v>10</v>
      </c>
      <c r="F463">
        <v>0</v>
      </c>
      <c r="G463">
        <v>1</v>
      </c>
      <c r="H463">
        <v>0</v>
      </c>
      <c r="I463">
        <v>0</v>
      </c>
      <c r="J463">
        <v>1</v>
      </c>
      <c r="K463">
        <v>0.75</v>
      </c>
    </row>
    <row r="464" spans="1:11" x14ac:dyDescent="0.2">
      <c r="A464" t="s">
        <v>0</v>
      </c>
      <c r="B464">
        <v>59</v>
      </c>
      <c r="C464" t="s">
        <v>4</v>
      </c>
      <c r="D464" t="s">
        <v>2</v>
      </c>
      <c r="E464" t="s">
        <v>32</v>
      </c>
      <c r="F464">
        <v>0</v>
      </c>
      <c r="G464">
        <v>0</v>
      </c>
      <c r="H464">
        <v>0</v>
      </c>
      <c r="I464">
        <v>3</v>
      </c>
      <c r="J464">
        <v>3</v>
      </c>
      <c r="K464">
        <v>0.3</v>
      </c>
    </row>
    <row r="465" spans="1:11" x14ac:dyDescent="0.2">
      <c r="A465" t="s">
        <v>0</v>
      </c>
      <c r="B465">
        <v>59</v>
      </c>
      <c r="C465" t="s">
        <v>15</v>
      </c>
      <c r="D465" t="s">
        <v>6</v>
      </c>
      <c r="E465" t="s">
        <v>17</v>
      </c>
      <c r="F465">
        <v>0</v>
      </c>
      <c r="G465">
        <v>0</v>
      </c>
      <c r="H465">
        <v>1</v>
      </c>
      <c r="I465">
        <v>0</v>
      </c>
      <c r="J465">
        <v>1</v>
      </c>
      <c r="K465">
        <v>0.5</v>
      </c>
    </row>
    <row r="466" spans="1:11" x14ac:dyDescent="0.2">
      <c r="A466" t="s">
        <v>0</v>
      </c>
      <c r="B466">
        <v>59</v>
      </c>
      <c r="C466" t="s">
        <v>18</v>
      </c>
      <c r="D466" t="s">
        <v>2</v>
      </c>
      <c r="E466" t="s">
        <v>54</v>
      </c>
      <c r="F466">
        <v>0</v>
      </c>
      <c r="G466">
        <v>0</v>
      </c>
      <c r="H466">
        <v>0</v>
      </c>
      <c r="I466">
        <v>2</v>
      </c>
      <c r="J466">
        <v>2</v>
      </c>
      <c r="K466">
        <v>0.2</v>
      </c>
    </row>
    <row r="467" spans="1:11" x14ac:dyDescent="0.2">
      <c r="A467" t="s">
        <v>0</v>
      </c>
      <c r="B467">
        <v>59</v>
      </c>
      <c r="C467" t="s">
        <v>23</v>
      </c>
      <c r="D467" t="s">
        <v>33</v>
      </c>
      <c r="E467" t="s">
        <v>34</v>
      </c>
      <c r="F467">
        <v>0</v>
      </c>
      <c r="G467">
        <v>0</v>
      </c>
      <c r="H467">
        <v>2</v>
      </c>
      <c r="I467">
        <v>1</v>
      </c>
      <c r="J467">
        <v>3</v>
      </c>
      <c r="K467">
        <v>1.3</v>
      </c>
    </row>
    <row r="468" spans="1:11" x14ac:dyDescent="0.2">
      <c r="A468" t="s">
        <v>0</v>
      </c>
      <c r="B468">
        <v>59</v>
      </c>
      <c r="C468" t="s">
        <v>23</v>
      </c>
      <c r="D468" t="s">
        <v>2</v>
      </c>
      <c r="E468" t="s">
        <v>10</v>
      </c>
      <c r="F468">
        <v>0</v>
      </c>
      <c r="G468">
        <v>1</v>
      </c>
      <c r="H468">
        <v>0</v>
      </c>
      <c r="I468">
        <v>0</v>
      </c>
      <c r="J468">
        <v>1</v>
      </c>
      <c r="K468">
        <v>0.75</v>
      </c>
    </row>
    <row r="469" spans="1:11" x14ac:dyDescent="0.2">
      <c r="A469" t="s">
        <v>0</v>
      </c>
      <c r="B469">
        <v>59</v>
      </c>
      <c r="C469" t="s">
        <v>23</v>
      </c>
      <c r="D469" t="s">
        <v>6</v>
      </c>
      <c r="E469" t="s">
        <v>25</v>
      </c>
      <c r="F469">
        <v>0</v>
      </c>
      <c r="G469">
        <v>1</v>
      </c>
      <c r="H469">
        <v>0</v>
      </c>
      <c r="I469">
        <v>0</v>
      </c>
      <c r="J469">
        <v>1</v>
      </c>
      <c r="K469">
        <v>0.75</v>
      </c>
    </row>
    <row r="470" spans="1:11" x14ac:dyDescent="0.2">
      <c r="A470" t="s">
        <v>0</v>
      </c>
      <c r="B470">
        <v>59</v>
      </c>
      <c r="C470" t="s">
        <v>23</v>
      </c>
      <c r="D470" t="s">
        <v>2</v>
      </c>
      <c r="E470" t="s">
        <v>35</v>
      </c>
      <c r="F470">
        <v>0</v>
      </c>
      <c r="G470">
        <v>0</v>
      </c>
      <c r="H470">
        <v>0</v>
      </c>
      <c r="I470">
        <v>2</v>
      </c>
      <c r="J470">
        <v>2</v>
      </c>
      <c r="K470">
        <v>0.2</v>
      </c>
    </row>
    <row r="471" spans="1:11" x14ac:dyDescent="0.2">
      <c r="A471" t="s">
        <v>0</v>
      </c>
      <c r="B471">
        <v>59</v>
      </c>
      <c r="C471" t="s">
        <v>23</v>
      </c>
      <c r="D471" t="s">
        <v>2</v>
      </c>
      <c r="E471" t="s">
        <v>26</v>
      </c>
      <c r="F471">
        <v>0</v>
      </c>
      <c r="G471">
        <v>0</v>
      </c>
      <c r="H471">
        <v>0</v>
      </c>
      <c r="I471">
        <v>1</v>
      </c>
      <c r="J471">
        <v>1</v>
      </c>
      <c r="K471">
        <v>0.1</v>
      </c>
    </row>
    <row r="472" spans="1:11" x14ac:dyDescent="0.2">
      <c r="A472" t="s">
        <v>0</v>
      </c>
      <c r="B472">
        <v>59</v>
      </c>
      <c r="C472" t="s">
        <v>27</v>
      </c>
      <c r="D472" t="s">
        <v>2</v>
      </c>
      <c r="E472" t="s">
        <v>5</v>
      </c>
      <c r="F472">
        <v>0</v>
      </c>
      <c r="G472">
        <v>0</v>
      </c>
      <c r="H472">
        <v>1</v>
      </c>
      <c r="I472">
        <v>0</v>
      </c>
      <c r="J472">
        <v>1</v>
      </c>
      <c r="K472">
        <v>0.5</v>
      </c>
    </row>
    <row r="473" spans="1:11" x14ac:dyDescent="0.2">
      <c r="A473" t="s">
        <v>0</v>
      </c>
      <c r="B473">
        <v>60</v>
      </c>
      <c r="C473" t="s">
        <v>4</v>
      </c>
      <c r="D473" t="s">
        <v>6</v>
      </c>
      <c r="E473" t="s">
        <v>45</v>
      </c>
      <c r="F473">
        <v>0</v>
      </c>
      <c r="G473">
        <v>1</v>
      </c>
      <c r="H473">
        <v>2</v>
      </c>
      <c r="I473">
        <v>0</v>
      </c>
      <c r="J473">
        <v>3</v>
      </c>
      <c r="K473">
        <v>1.75</v>
      </c>
    </row>
    <row r="474" spans="1:11" x14ac:dyDescent="0.2">
      <c r="A474" t="s">
        <v>0</v>
      </c>
      <c r="B474">
        <v>60</v>
      </c>
      <c r="C474" t="s">
        <v>4</v>
      </c>
      <c r="D474" t="s">
        <v>2</v>
      </c>
      <c r="E474" t="s">
        <v>32</v>
      </c>
      <c r="F474">
        <v>0</v>
      </c>
      <c r="G474">
        <v>0</v>
      </c>
      <c r="H474">
        <v>0</v>
      </c>
      <c r="I474">
        <v>1</v>
      </c>
      <c r="J474">
        <v>1</v>
      </c>
      <c r="K474">
        <v>0.1</v>
      </c>
    </row>
    <row r="475" spans="1:11" x14ac:dyDescent="0.2">
      <c r="A475" t="s">
        <v>0</v>
      </c>
      <c r="B475">
        <v>60</v>
      </c>
      <c r="C475" t="s">
        <v>1</v>
      </c>
      <c r="D475" t="s">
        <v>33</v>
      </c>
      <c r="E475" t="s">
        <v>45</v>
      </c>
      <c r="F475">
        <v>0</v>
      </c>
      <c r="G475">
        <v>1</v>
      </c>
      <c r="H475">
        <v>2</v>
      </c>
      <c r="I475">
        <v>0</v>
      </c>
      <c r="J475">
        <v>3</v>
      </c>
      <c r="K475">
        <v>1.75</v>
      </c>
    </row>
    <row r="476" spans="1:11" x14ac:dyDescent="0.2">
      <c r="A476" t="s">
        <v>0</v>
      </c>
      <c r="B476">
        <v>60</v>
      </c>
      <c r="C476" t="s">
        <v>15</v>
      </c>
      <c r="D476" t="s">
        <v>2</v>
      </c>
      <c r="E476" t="s">
        <v>16</v>
      </c>
      <c r="F476">
        <v>0</v>
      </c>
      <c r="G476">
        <v>0</v>
      </c>
      <c r="H476">
        <v>0</v>
      </c>
      <c r="I476">
        <v>4</v>
      </c>
      <c r="J476">
        <v>4</v>
      </c>
      <c r="K476">
        <v>0.4</v>
      </c>
    </row>
    <row r="477" spans="1:11" x14ac:dyDescent="0.2">
      <c r="A477" t="s">
        <v>0</v>
      </c>
      <c r="B477">
        <v>60</v>
      </c>
      <c r="C477" t="s">
        <v>15</v>
      </c>
      <c r="D477" t="s">
        <v>2</v>
      </c>
      <c r="E477" t="s">
        <v>77</v>
      </c>
      <c r="F477">
        <v>0</v>
      </c>
      <c r="G477">
        <v>0</v>
      </c>
      <c r="H477">
        <v>2</v>
      </c>
      <c r="I477">
        <v>0</v>
      </c>
      <c r="J477">
        <v>2</v>
      </c>
      <c r="K477">
        <v>1</v>
      </c>
    </row>
    <row r="478" spans="1:11" x14ac:dyDescent="0.2">
      <c r="A478" t="s">
        <v>0</v>
      </c>
      <c r="B478">
        <v>60</v>
      </c>
      <c r="C478" t="s">
        <v>18</v>
      </c>
      <c r="D478" t="s">
        <v>6</v>
      </c>
      <c r="E478" t="s">
        <v>19</v>
      </c>
      <c r="F478">
        <v>0</v>
      </c>
      <c r="G478">
        <v>0</v>
      </c>
      <c r="H478">
        <v>3</v>
      </c>
      <c r="I478">
        <v>0</v>
      </c>
      <c r="J478">
        <v>3</v>
      </c>
      <c r="K478">
        <v>1.5</v>
      </c>
    </row>
    <row r="479" spans="1:11" x14ac:dyDescent="0.2">
      <c r="A479" t="s">
        <v>0</v>
      </c>
      <c r="B479">
        <v>60</v>
      </c>
      <c r="C479" t="s">
        <v>23</v>
      </c>
      <c r="D479" t="s">
        <v>33</v>
      </c>
      <c r="E479" t="s">
        <v>34</v>
      </c>
      <c r="F479">
        <v>0</v>
      </c>
      <c r="G479">
        <v>0</v>
      </c>
      <c r="H479">
        <v>0</v>
      </c>
      <c r="I479">
        <v>1</v>
      </c>
      <c r="J479">
        <v>1</v>
      </c>
      <c r="K479">
        <v>0.1</v>
      </c>
    </row>
    <row r="480" spans="1:11" x14ac:dyDescent="0.2">
      <c r="A480" t="s">
        <v>0</v>
      </c>
      <c r="B480">
        <v>61</v>
      </c>
      <c r="C480" t="s">
        <v>4</v>
      </c>
      <c r="D480" t="s">
        <v>6</v>
      </c>
      <c r="E480" t="s">
        <v>45</v>
      </c>
      <c r="F480">
        <v>0</v>
      </c>
      <c r="G480">
        <v>0</v>
      </c>
      <c r="H480">
        <v>1</v>
      </c>
      <c r="I480">
        <v>1</v>
      </c>
      <c r="J480">
        <v>2</v>
      </c>
      <c r="K480">
        <v>0.6</v>
      </c>
    </row>
    <row r="481" spans="1:11" x14ac:dyDescent="0.2">
      <c r="A481" t="s">
        <v>0</v>
      </c>
      <c r="B481">
        <v>61</v>
      </c>
      <c r="C481" t="s">
        <v>4</v>
      </c>
      <c r="D481" t="s">
        <v>2</v>
      </c>
      <c r="E481" t="s">
        <v>7</v>
      </c>
      <c r="F481">
        <v>0</v>
      </c>
      <c r="G481">
        <v>1</v>
      </c>
      <c r="H481">
        <v>0</v>
      </c>
      <c r="I481">
        <v>0</v>
      </c>
      <c r="J481">
        <v>1</v>
      </c>
      <c r="K481">
        <v>0.75</v>
      </c>
    </row>
    <row r="482" spans="1:11" x14ac:dyDescent="0.2">
      <c r="A482" t="s">
        <v>0</v>
      </c>
      <c r="B482">
        <v>61</v>
      </c>
      <c r="C482" t="s">
        <v>1</v>
      </c>
      <c r="D482" t="s">
        <v>33</v>
      </c>
      <c r="E482" t="s">
        <v>45</v>
      </c>
      <c r="F482">
        <v>0</v>
      </c>
      <c r="G482">
        <v>0</v>
      </c>
      <c r="H482">
        <v>1</v>
      </c>
      <c r="I482">
        <v>1</v>
      </c>
      <c r="J482">
        <v>2</v>
      </c>
      <c r="K482">
        <v>0.6</v>
      </c>
    </row>
    <row r="483" spans="1:11" x14ac:dyDescent="0.2">
      <c r="A483" t="s">
        <v>0</v>
      </c>
      <c r="B483">
        <v>61</v>
      </c>
      <c r="C483" t="s">
        <v>15</v>
      </c>
      <c r="D483" t="s">
        <v>2</v>
      </c>
      <c r="E483" t="s">
        <v>16</v>
      </c>
      <c r="F483">
        <v>0</v>
      </c>
      <c r="G483">
        <v>0</v>
      </c>
      <c r="H483">
        <v>0</v>
      </c>
      <c r="I483">
        <v>1</v>
      </c>
      <c r="J483">
        <v>1</v>
      </c>
      <c r="K483">
        <v>0.1</v>
      </c>
    </row>
    <row r="484" spans="1:11" x14ac:dyDescent="0.2">
      <c r="A484" t="s">
        <v>0</v>
      </c>
      <c r="B484">
        <v>61</v>
      </c>
      <c r="C484" t="s">
        <v>18</v>
      </c>
      <c r="D484" t="s">
        <v>6</v>
      </c>
      <c r="E484" t="s">
        <v>19</v>
      </c>
      <c r="F484">
        <v>0</v>
      </c>
      <c r="G484">
        <v>0</v>
      </c>
      <c r="H484">
        <v>1</v>
      </c>
      <c r="I484">
        <v>0</v>
      </c>
      <c r="J484">
        <v>1</v>
      </c>
      <c r="K484">
        <v>0.5</v>
      </c>
    </row>
    <row r="485" spans="1:11" x14ac:dyDescent="0.2">
      <c r="A485" t="s">
        <v>0</v>
      </c>
      <c r="B485">
        <v>61</v>
      </c>
      <c r="C485" t="s">
        <v>23</v>
      </c>
      <c r="D485" t="s">
        <v>33</v>
      </c>
      <c r="E485" t="s">
        <v>40</v>
      </c>
      <c r="F485">
        <v>0</v>
      </c>
      <c r="G485">
        <v>1</v>
      </c>
      <c r="H485">
        <v>0</v>
      </c>
      <c r="I485">
        <v>0</v>
      </c>
      <c r="J485">
        <v>1</v>
      </c>
      <c r="K485">
        <v>0.75</v>
      </c>
    </row>
    <row r="486" spans="1:11" x14ac:dyDescent="0.2">
      <c r="A486" t="s">
        <v>0</v>
      </c>
      <c r="B486">
        <v>61</v>
      </c>
      <c r="C486" t="s">
        <v>23</v>
      </c>
      <c r="D486" t="s">
        <v>2</v>
      </c>
      <c r="E486" t="s">
        <v>35</v>
      </c>
      <c r="F486">
        <v>0</v>
      </c>
      <c r="G486">
        <v>0</v>
      </c>
      <c r="H486">
        <v>0</v>
      </c>
      <c r="I486">
        <v>1</v>
      </c>
      <c r="J486">
        <v>1</v>
      </c>
      <c r="K486">
        <v>0.1</v>
      </c>
    </row>
    <row r="487" spans="1:11" x14ac:dyDescent="0.2">
      <c r="A487" t="s">
        <v>0</v>
      </c>
      <c r="B487">
        <v>61</v>
      </c>
      <c r="C487" t="s">
        <v>27</v>
      </c>
      <c r="D487" t="s">
        <v>6</v>
      </c>
      <c r="E487" t="s">
        <v>55</v>
      </c>
      <c r="F487">
        <v>0</v>
      </c>
      <c r="G487">
        <v>0</v>
      </c>
      <c r="H487">
        <v>0</v>
      </c>
      <c r="I487">
        <v>1</v>
      </c>
      <c r="J487">
        <v>1</v>
      </c>
      <c r="K487">
        <v>0.1</v>
      </c>
    </row>
    <row r="488" spans="1:11" x14ac:dyDescent="0.2">
      <c r="A488" t="s">
        <v>0</v>
      </c>
      <c r="B488">
        <v>61</v>
      </c>
      <c r="C488" t="s">
        <v>27</v>
      </c>
      <c r="D488" t="s">
        <v>2</v>
      </c>
      <c r="E488" t="s">
        <v>95</v>
      </c>
      <c r="F488">
        <v>0</v>
      </c>
      <c r="G488">
        <v>0</v>
      </c>
      <c r="H488">
        <v>0</v>
      </c>
      <c r="I488">
        <v>1</v>
      </c>
      <c r="J488">
        <v>1</v>
      </c>
      <c r="K488">
        <v>0.1</v>
      </c>
    </row>
    <row r="489" spans="1:11" x14ac:dyDescent="0.2">
      <c r="A489" t="s">
        <v>0</v>
      </c>
      <c r="B489">
        <v>62</v>
      </c>
      <c r="C489" t="s">
        <v>4</v>
      </c>
      <c r="D489" t="s">
        <v>6</v>
      </c>
      <c r="E489" t="s">
        <v>45</v>
      </c>
      <c r="F489">
        <v>0</v>
      </c>
      <c r="G489">
        <v>1</v>
      </c>
      <c r="H489">
        <v>0</v>
      </c>
      <c r="I489">
        <v>0</v>
      </c>
      <c r="J489">
        <v>1</v>
      </c>
      <c r="K489">
        <v>0.75</v>
      </c>
    </row>
    <row r="490" spans="1:11" x14ac:dyDescent="0.2">
      <c r="A490" t="s">
        <v>0</v>
      </c>
      <c r="B490">
        <v>62</v>
      </c>
      <c r="C490" t="s">
        <v>4</v>
      </c>
      <c r="D490" t="s">
        <v>2</v>
      </c>
      <c r="E490" t="s">
        <v>7</v>
      </c>
      <c r="F490">
        <v>0</v>
      </c>
      <c r="G490">
        <v>1</v>
      </c>
      <c r="H490">
        <v>0</v>
      </c>
      <c r="I490">
        <v>0</v>
      </c>
      <c r="J490">
        <v>1</v>
      </c>
      <c r="K490">
        <v>0.75</v>
      </c>
    </row>
    <row r="491" spans="1:11" x14ac:dyDescent="0.2">
      <c r="A491" t="s">
        <v>0</v>
      </c>
      <c r="B491">
        <v>62</v>
      </c>
      <c r="C491" t="s">
        <v>1</v>
      </c>
      <c r="D491" t="s">
        <v>33</v>
      </c>
      <c r="E491" t="s">
        <v>45</v>
      </c>
      <c r="F491">
        <v>0</v>
      </c>
      <c r="G491">
        <v>1</v>
      </c>
      <c r="H491">
        <v>0</v>
      </c>
      <c r="I491">
        <v>0</v>
      </c>
      <c r="J491">
        <v>1</v>
      </c>
      <c r="K491">
        <v>0.75</v>
      </c>
    </row>
    <row r="492" spans="1:11" x14ac:dyDescent="0.2">
      <c r="A492" t="s">
        <v>0</v>
      </c>
      <c r="B492">
        <v>62</v>
      </c>
      <c r="C492" t="s">
        <v>18</v>
      </c>
      <c r="D492" t="s">
        <v>2</v>
      </c>
      <c r="E492" t="s">
        <v>21</v>
      </c>
      <c r="F492">
        <v>0</v>
      </c>
      <c r="G492">
        <v>0</v>
      </c>
      <c r="H492">
        <v>0</v>
      </c>
      <c r="I492">
        <v>1</v>
      </c>
      <c r="J492">
        <v>1</v>
      </c>
      <c r="K492">
        <v>0.1</v>
      </c>
    </row>
    <row r="493" spans="1:11" x14ac:dyDescent="0.2">
      <c r="A493" t="s">
        <v>0</v>
      </c>
      <c r="B493">
        <v>63</v>
      </c>
      <c r="C493" t="s">
        <v>4</v>
      </c>
      <c r="D493" t="s">
        <v>2</v>
      </c>
      <c r="E493" t="s">
        <v>5</v>
      </c>
      <c r="F493">
        <v>0</v>
      </c>
      <c r="G493">
        <v>0</v>
      </c>
      <c r="H493">
        <v>1</v>
      </c>
      <c r="I493">
        <v>0</v>
      </c>
      <c r="J493">
        <v>1</v>
      </c>
      <c r="K493">
        <v>0.5</v>
      </c>
    </row>
    <row r="494" spans="1:11" x14ac:dyDescent="0.2">
      <c r="A494" t="s">
        <v>0</v>
      </c>
      <c r="B494">
        <v>63</v>
      </c>
      <c r="C494" t="s">
        <v>4</v>
      </c>
      <c r="D494" t="s">
        <v>6</v>
      </c>
      <c r="E494" t="s">
        <v>5</v>
      </c>
      <c r="F494">
        <v>0</v>
      </c>
      <c r="G494">
        <v>0</v>
      </c>
      <c r="H494">
        <v>1</v>
      </c>
      <c r="I494">
        <v>0</v>
      </c>
      <c r="J494">
        <v>1</v>
      </c>
      <c r="K494">
        <v>0.5</v>
      </c>
    </row>
    <row r="495" spans="1:11" x14ac:dyDescent="0.2">
      <c r="A495" t="s">
        <v>0</v>
      </c>
      <c r="B495">
        <v>63</v>
      </c>
      <c r="C495" t="s">
        <v>4</v>
      </c>
      <c r="D495" t="s">
        <v>33</v>
      </c>
      <c r="E495" t="s">
        <v>36</v>
      </c>
      <c r="F495">
        <v>0</v>
      </c>
      <c r="G495">
        <v>1</v>
      </c>
      <c r="H495">
        <v>0</v>
      </c>
      <c r="I495">
        <v>0</v>
      </c>
      <c r="J495">
        <v>1</v>
      </c>
      <c r="K495">
        <v>0.75</v>
      </c>
    </row>
    <row r="496" spans="1:11" x14ac:dyDescent="0.2">
      <c r="A496" t="s">
        <v>0</v>
      </c>
      <c r="B496">
        <v>63</v>
      </c>
      <c r="C496" t="s">
        <v>4</v>
      </c>
      <c r="D496" t="s">
        <v>6</v>
      </c>
      <c r="E496" t="s">
        <v>45</v>
      </c>
      <c r="F496">
        <v>0</v>
      </c>
      <c r="G496">
        <v>1</v>
      </c>
      <c r="H496">
        <v>0</v>
      </c>
      <c r="I496">
        <v>0</v>
      </c>
      <c r="J496">
        <v>1</v>
      </c>
      <c r="K496">
        <v>0.75</v>
      </c>
    </row>
    <row r="497" spans="1:11" x14ac:dyDescent="0.2">
      <c r="A497" t="s">
        <v>0</v>
      </c>
      <c r="B497">
        <v>63</v>
      </c>
      <c r="C497" t="s">
        <v>4</v>
      </c>
      <c r="D497" t="s">
        <v>2</v>
      </c>
      <c r="E497" t="s">
        <v>32</v>
      </c>
      <c r="F497">
        <v>0</v>
      </c>
      <c r="G497">
        <v>0</v>
      </c>
      <c r="H497">
        <v>0</v>
      </c>
      <c r="I497">
        <v>1</v>
      </c>
      <c r="J497">
        <v>1</v>
      </c>
      <c r="K497">
        <v>0.1</v>
      </c>
    </row>
    <row r="498" spans="1:11" x14ac:dyDescent="0.2">
      <c r="A498" t="s">
        <v>0</v>
      </c>
      <c r="B498">
        <v>63</v>
      </c>
      <c r="C498" t="s">
        <v>1</v>
      </c>
      <c r="D498" t="s">
        <v>33</v>
      </c>
      <c r="E498" t="s">
        <v>45</v>
      </c>
      <c r="F498">
        <v>0</v>
      </c>
      <c r="G498">
        <v>1</v>
      </c>
      <c r="H498">
        <v>0</v>
      </c>
      <c r="I498">
        <v>0</v>
      </c>
      <c r="J498">
        <v>1</v>
      </c>
      <c r="K498">
        <v>0.75</v>
      </c>
    </row>
    <row r="499" spans="1:11" x14ac:dyDescent="0.2">
      <c r="A499" t="s">
        <v>0</v>
      </c>
      <c r="B499">
        <v>63</v>
      </c>
      <c r="C499" t="s">
        <v>23</v>
      </c>
      <c r="D499" t="s">
        <v>33</v>
      </c>
      <c r="E499" t="s">
        <v>34</v>
      </c>
      <c r="F499">
        <v>0</v>
      </c>
      <c r="G499">
        <v>0</v>
      </c>
      <c r="H499">
        <v>1</v>
      </c>
      <c r="I499">
        <v>0</v>
      </c>
      <c r="J499">
        <v>1</v>
      </c>
      <c r="K499">
        <v>0.6</v>
      </c>
    </row>
    <row r="500" spans="1:11" x14ac:dyDescent="0.2">
      <c r="A500" t="s">
        <v>0</v>
      </c>
      <c r="B500">
        <v>63</v>
      </c>
      <c r="C500" t="s">
        <v>23</v>
      </c>
      <c r="D500" t="s">
        <v>2</v>
      </c>
      <c r="E500" t="s">
        <v>35</v>
      </c>
      <c r="F500">
        <v>0</v>
      </c>
      <c r="G500">
        <v>0</v>
      </c>
      <c r="H500">
        <v>1</v>
      </c>
      <c r="I500">
        <v>0</v>
      </c>
      <c r="J500">
        <v>1</v>
      </c>
      <c r="K500">
        <v>0.5</v>
      </c>
    </row>
    <row r="501" spans="1:11" x14ac:dyDescent="0.2">
      <c r="A501" t="s">
        <v>0</v>
      </c>
      <c r="B501">
        <v>63</v>
      </c>
      <c r="C501" t="s">
        <v>23</v>
      </c>
      <c r="D501" t="s">
        <v>2</v>
      </c>
      <c r="E501" t="s">
        <v>74</v>
      </c>
      <c r="F501">
        <v>0</v>
      </c>
      <c r="G501">
        <v>0</v>
      </c>
      <c r="H501">
        <v>0</v>
      </c>
      <c r="I501">
        <v>2</v>
      </c>
      <c r="J501">
        <v>2</v>
      </c>
      <c r="K501">
        <v>0.2</v>
      </c>
    </row>
    <row r="502" spans="1:11" x14ac:dyDescent="0.2">
      <c r="A502" t="s">
        <v>0</v>
      </c>
      <c r="B502">
        <v>63</v>
      </c>
      <c r="C502" t="s">
        <v>27</v>
      </c>
      <c r="D502" t="s">
        <v>2</v>
      </c>
      <c r="E502" t="s">
        <v>5</v>
      </c>
      <c r="F502">
        <v>0</v>
      </c>
      <c r="G502">
        <v>0</v>
      </c>
      <c r="H502">
        <v>1</v>
      </c>
      <c r="I502">
        <v>0</v>
      </c>
      <c r="J502">
        <v>1</v>
      </c>
      <c r="K502">
        <v>0.5</v>
      </c>
    </row>
    <row r="503" spans="1:11" x14ac:dyDescent="0.2">
      <c r="A503" t="s">
        <v>0</v>
      </c>
      <c r="B503">
        <v>64</v>
      </c>
      <c r="C503" t="s">
        <v>4</v>
      </c>
      <c r="D503" t="s">
        <v>2</v>
      </c>
      <c r="E503" t="s">
        <v>32</v>
      </c>
      <c r="F503">
        <v>1</v>
      </c>
      <c r="G503">
        <v>0</v>
      </c>
      <c r="H503">
        <v>0</v>
      </c>
      <c r="I503">
        <v>0</v>
      </c>
      <c r="J503">
        <v>1</v>
      </c>
      <c r="K503">
        <v>1</v>
      </c>
    </row>
    <row r="504" spans="1:11" x14ac:dyDescent="0.2">
      <c r="A504" t="s">
        <v>0</v>
      </c>
      <c r="B504">
        <v>64</v>
      </c>
      <c r="C504" t="s">
        <v>15</v>
      </c>
      <c r="D504" t="s">
        <v>2</v>
      </c>
      <c r="E504" t="s">
        <v>16</v>
      </c>
      <c r="F504">
        <v>0</v>
      </c>
      <c r="G504">
        <v>0</v>
      </c>
      <c r="H504">
        <v>1</v>
      </c>
      <c r="I504">
        <v>8</v>
      </c>
      <c r="J504">
        <v>9</v>
      </c>
      <c r="K504">
        <v>1.3</v>
      </c>
    </row>
    <row r="505" spans="1:11" x14ac:dyDescent="0.2">
      <c r="A505" t="s">
        <v>0</v>
      </c>
      <c r="B505">
        <v>64</v>
      </c>
      <c r="C505" t="s">
        <v>23</v>
      </c>
      <c r="D505" t="s">
        <v>33</v>
      </c>
      <c r="E505" t="s">
        <v>34</v>
      </c>
      <c r="F505">
        <v>0</v>
      </c>
      <c r="G505">
        <v>1</v>
      </c>
      <c r="H505">
        <v>0</v>
      </c>
      <c r="I505">
        <v>0</v>
      </c>
      <c r="J505">
        <v>1</v>
      </c>
      <c r="K505">
        <v>0.75</v>
      </c>
    </row>
    <row r="506" spans="1:11" x14ac:dyDescent="0.2">
      <c r="A506" t="s">
        <v>0</v>
      </c>
      <c r="B506">
        <v>64</v>
      </c>
      <c r="C506" t="s">
        <v>23</v>
      </c>
      <c r="D506" t="s">
        <v>6</v>
      </c>
      <c r="E506" t="s">
        <v>96</v>
      </c>
      <c r="F506">
        <v>0</v>
      </c>
      <c r="G506">
        <v>0</v>
      </c>
      <c r="H506">
        <v>1</v>
      </c>
      <c r="I506">
        <v>0</v>
      </c>
      <c r="J506">
        <v>1</v>
      </c>
      <c r="K506">
        <v>0.5</v>
      </c>
    </row>
    <row r="507" spans="1:11" x14ac:dyDescent="0.2">
      <c r="A507" t="s">
        <v>0</v>
      </c>
      <c r="B507">
        <v>65</v>
      </c>
      <c r="C507" t="s">
        <v>4</v>
      </c>
      <c r="D507" t="s">
        <v>2</v>
      </c>
      <c r="E507" t="s">
        <v>32</v>
      </c>
      <c r="F507">
        <v>0</v>
      </c>
      <c r="G507">
        <v>0</v>
      </c>
      <c r="H507">
        <v>0</v>
      </c>
      <c r="I507">
        <v>1</v>
      </c>
      <c r="J507">
        <v>1</v>
      </c>
      <c r="K507">
        <v>0.1</v>
      </c>
    </row>
    <row r="508" spans="1:11" x14ac:dyDescent="0.2">
      <c r="A508" t="s">
        <v>0</v>
      </c>
      <c r="B508">
        <v>65</v>
      </c>
      <c r="C508" t="s">
        <v>23</v>
      </c>
      <c r="D508" t="s">
        <v>33</v>
      </c>
      <c r="E508" t="s">
        <v>34</v>
      </c>
      <c r="F508">
        <v>0</v>
      </c>
      <c r="G508">
        <v>0</v>
      </c>
      <c r="H508">
        <v>0</v>
      </c>
      <c r="I508">
        <v>1</v>
      </c>
      <c r="J508">
        <v>1</v>
      </c>
      <c r="K508">
        <v>0.1</v>
      </c>
    </row>
    <row r="509" spans="1:11" x14ac:dyDescent="0.2">
      <c r="A509" t="s">
        <v>0</v>
      </c>
      <c r="B509">
        <v>65</v>
      </c>
      <c r="C509" t="s">
        <v>23</v>
      </c>
      <c r="D509" t="s">
        <v>33</v>
      </c>
      <c r="E509" t="s">
        <v>40</v>
      </c>
      <c r="F509">
        <v>0</v>
      </c>
      <c r="G509">
        <v>1</v>
      </c>
      <c r="H509">
        <v>0</v>
      </c>
      <c r="I509">
        <v>0</v>
      </c>
      <c r="J509">
        <v>1</v>
      </c>
      <c r="K509">
        <v>0.75</v>
      </c>
    </row>
    <row r="510" spans="1:11" x14ac:dyDescent="0.2">
      <c r="A510" t="s">
        <v>0</v>
      </c>
      <c r="B510">
        <v>66</v>
      </c>
      <c r="C510" t="s">
        <v>4</v>
      </c>
      <c r="D510" t="s">
        <v>2</v>
      </c>
      <c r="E510" t="s">
        <v>7</v>
      </c>
      <c r="F510">
        <v>0</v>
      </c>
      <c r="G510">
        <v>1</v>
      </c>
      <c r="H510">
        <v>0</v>
      </c>
      <c r="I510">
        <v>0</v>
      </c>
      <c r="J510">
        <v>1</v>
      </c>
      <c r="K510">
        <v>0.75</v>
      </c>
    </row>
    <row r="511" spans="1:11" x14ac:dyDescent="0.2">
      <c r="A511" t="s">
        <v>0</v>
      </c>
      <c r="B511">
        <v>66</v>
      </c>
      <c r="C511" t="s">
        <v>15</v>
      </c>
      <c r="D511" t="s">
        <v>2</v>
      </c>
      <c r="E511" t="s">
        <v>16</v>
      </c>
      <c r="F511">
        <v>0</v>
      </c>
      <c r="G511">
        <v>0</v>
      </c>
      <c r="H511">
        <v>0</v>
      </c>
      <c r="I511">
        <v>1</v>
      </c>
      <c r="J511">
        <v>1</v>
      </c>
      <c r="K511">
        <v>0.1</v>
      </c>
    </row>
    <row r="512" spans="1:11" x14ac:dyDescent="0.2">
      <c r="A512" t="s">
        <v>0</v>
      </c>
      <c r="B512">
        <v>66</v>
      </c>
      <c r="C512" t="s">
        <v>18</v>
      </c>
      <c r="D512" t="s">
        <v>2</v>
      </c>
      <c r="E512" t="s">
        <v>21</v>
      </c>
      <c r="F512">
        <v>0</v>
      </c>
      <c r="G512">
        <v>0</v>
      </c>
      <c r="H512">
        <v>0</v>
      </c>
      <c r="I512">
        <v>1</v>
      </c>
      <c r="J512">
        <v>1</v>
      </c>
      <c r="K512">
        <v>0.1</v>
      </c>
    </row>
    <row r="513" spans="1:11" x14ac:dyDescent="0.2">
      <c r="A513" t="s">
        <v>0</v>
      </c>
      <c r="B513">
        <v>66</v>
      </c>
      <c r="C513" t="s">
        <v>23</v>
      </c>
      <c r="D513" t="s">
        <v>33</v>
      </c>
      <c r="E513" t="s">
        <v>40</v>
      </c>
      <c r="F513">
        <v>0</v>
      </c>
      <c r="G513">
        <v>0</v>
      </c>
      <c r="H513">
        <v>2</v>
      </c>
      <c r="I513">
        <v>0</v>
      </c>
      <c r="J513">
        <v>2</v>
      </c>
      <c r="K513">
        <v>1.1000000000000001</v>
      </c>
    </row>
    <row r="514" spans="1:11" x14ac:dyDescent="0.2">
      <c r="A514" t="s">
        <v>0</v>
      </c>
      <c r="B514">
        <v>66</v>
      </c>
      <c r="C514" t="s">
        <v>27</v>
      </c>
      <c r="D514" t="s">
        <v>2</v>
      </c>
      <c r="E514" t="s">
        <v>49</v>
      </c>
      <c r="F514">
        <v>1</v>
      </c>
      <c r="G514">
        <v>0</v>
      </c>
      <c r="H514">
        <v>1</v>
      </c>
      <c r="I514">
        <v>0</v>
      </c>
      <c r="J514">
        <v>2</v>
      </c>
      <c r="K514">
        <v>1.5</v>
      </c>
    </row>
    <row r="515" spans="1:11" x14ac:dyDescent="0.2">
      <c r="A515" t="s">
        <v>0</v>
      </c>
      <c r="B515">
        <v>66</v>
      </c>
      <c r="C515" t="s">
        <v>27</v>
      </c>
      <c r="D515" t="s">
        <v>6</v>
      </c>
      <c r="E515" t="s">
        <v>50</v>
      </c>
      <c r="F515">
        <v>0</v>
      </c>
      <c r="G515">
        <v>0</v>
      </c>
      <c r="H515">
        <v>2</v>
      </c>
      <c r="I515">
        <v>0</v>
      </c>
      <c r="J515">
        <v>2</v>
      </c>
      <c r="K515">
        <v>1</v>
      </c>
    </row>
    <row r="516" spans="1:11" x14ac:dyDescent="0.2">
      <c r="A516" t="s">
        <v>0</v>
      </c>
      <c r="B516">
        <v>66</v>
      </c>
      <c r="C516" t="s">
        <v>27</v>
      </c>
      <c r="D516" t="s">
        <v>33</v>
      </c>
      <c r="E516" t="s">
        <v>50</v>
      </c>
      <c r="F516">
        <v>0</v>
      </c>
      <c r="G516">
        <v>0</v>
      </c>
      <c r="H516">
        <v>2</v>
      </c>
      <c r="I516">
        <v>0</v>
      </c>
      <c r="J516">
        <v>2</v>
      </c>
      <c r="K516">
        <v>1</v>
      </c>
    </row>
    <row r="517" spans="1:11" x14ac:dyDescent="0.2">
      <c r="A517" t="s">
        <v>0</v>
      </c>
      <c r="B517">
        <v>67</v>
      </c>
      <c r="C517" t="s">
        <v>4</v>
      </c>
      <c r="D517" t="s">
        <v>6</v>
      </c>
      <c r="E517" t="s">
        <v>45</v>
      </c>
      <c r="F517">
        <v>0</v>
      </c>
      <c r="G517">
        <v>0</v>
      </c>
      <c r="H517">
        <v>0</v>
      </c>
      <c r="I517">
        <v>1</v>
      </c>
      <c r="J517">
        <v>1</v>
      </c>
      <c r="K517">
        <v>0.1</v>
      </c>
    </row>
    <row r="518" spans="1:11" x14ac:dyDescent="0.2">
      <c r="A518" t="s">
        <v>0</v>
      </c>
      <c r="B518">
        <v>67</v>
      </c>
      <c r="C518" t="s">
        <v>4</v>
      </c>
      <c r="D518" t="s">
        <v>6</v>
      </c>
      <c r="E518" t="s">
        <v>10</v>
      </c>
      <c r="F518">
        <v>0</v>
      </c>
      <c r="G518">
        <v>1</v>
      </c>
      <c r="H518">
        <v>0</v>
      </c>
      <c r="I518">
        <v>0</v>
      </c>
      <c r="J518">
        <v>1</v>
      </c>
      <c r="K518">
        <v>0.75</v>
      </c>
    </row>
    <row r="519" spans="1:11" x14ac:dyDescent="0.2">
      <c r="A519" t="s">
        <v>0</v>
      </c>
      <c r="B519">
        <v>67</v>
      </c>
      <c r="C519" t="s">
        <v>4</v>
      </c>
      <c r="D519" t="s">
        <v>2</v>
      </c>
      <c r="E519" t="s">
        <v>32</v>
      </c>
      <c r="F519">
        <v>0</v>
      </c>
      <c r="G519">
        <v>0</v>
      </c>
      <c r="H519">
        <v>0</v>
      </c>
      <c r="I519">
        <v>1</v>
      </c>
      <c r="J519">
        <v>1</v>
      </c>
      <c r="K519">
        <v>0.1</v>
      </c>
    </row>
    <row r="520" spans="1:11" x14ac:dyDescent="0.2">
      <c r="A520" t="s">
        <v>0</v>
      </c>
      <c r="B520">
        <v>67</v>
      </c>
      <c r="C520" t="s">
        <v>1</v>
      </c>
      <c r="D520" t="s">
        <v>33</v>
      </c>
      <c r="E520" t="s">
        <v>45</v>
      </c>
      <c r="F520">
        <v>0</v>
      </c>
      <c r="G520">
        <v>0</v>
      </c>
      <c r="H520">
        <v>0</v>
      </c>
      <c r="I520">
        <v>1</v>
      </c>
      <c r="J520">
        <v>1</v>
      </c>
      <c r="K520">
        <v>0.1</v>
      </c>
    </row>
    <row r="521" spans="1:11" x14ac:dyDescent="0.2">
      <c r="A521" t="s">
        <v>0</v>
      </c>
      <c r="B521">
        <v>67</v>
      </c>
      <c r="C521" t="s">
        <v>1</v>
      </c>
      <c r="D521" t="s">
        <v>2</v>
      </c>
      <c r="E521" t="s">
        <v>92</v>
      </c>
      <c r="F521">
        <v>0</v>
      </c>
      <c r="G521">
        <v>0</v>
      </c>
      <c r="H521">
        <v>0</v>
      </c>
      <c r="I521">
        <v>2</v>
      </c>
      <c r="J521">
        <v>2</v>
      </c>
      <c r="K521">
        <v>0.2</v>
      </c>
    </row>
    <row r="522" spans="1:11" x14ac:dyDescent="0.2">
      <c r="A522" t="s">
        <v>0</v>
      </c>
      <c r="B522">
        <v>67</v>
      </c>
      <c r="C522" t="s">
        <v>18</v>
      </c>
      <c r="D522" t="s">
        <v>6</v>
      </c>
      <c r="E522" t="s">
        <v>93</v>
      </c>
      <c r="F522">
        <v>0</v>
      </c>
      <c r="G522">
        <v>0</v>
      </c>
      <c r="H522">
        <v>0</v>
      </c>
      <c r="I522">
        <v>2</v>
      </c>
      <c r="J522">
        <v>2</v>
      </c>
      <c r="K522">
        <v>0.2</v>
      </c>
    </row>
    <row r="523" spans="1:11" x14ac:dyDescent="0.2">
      <c r="A523" t="s">
        <v>0</v>
      </c>
      <c r="B523">
        <v>67</v>
      </c>
      <c r="C523" t="s">
        <v>23</v>
      </c>
      <c r="D523" t="s">
        <v>33</v>
      </c>
      <c r="E523" t="s">
        <v>34</v>
      </c>
      <c r="F523">
        <v>0</v>
      </c>
      <c r="G523">
        <v>0</v>
      </c>
      <c r="H523">
        <v>0</v>
      </c>
      <c r="I523">
        <v>1</v>
      </c>
      <c r="J523">
        <v>1</v>
      </c>
      <c r="K523">
        <v>0.1</v>
      </c>
    </row>
    <row r="524" spans="1:11" x14ac:dyDescent="0.2">
      <c r="A524" t="s">
        <v>0</v>
      </c>
      <c r="B524">
        <v>67</v>
      </c>
      <c r="C524" t="s">
        <v>23</v>
      </c>
      <c r="D524" t="s">
        <v>33</v>
      </c>
      <c r="E524" t="s">
        <v>40</v>
      </c>
      <c r="F524">
        <v>0</v>
      </c>
      <c r="G524">
        <v>1</v>
      </c>
      <c r="H524">
        <v>0</v>
      </c>
      <c r="I524">
        <v>0</v>
      </c>
      <c r="J524">
        <v>1</v>
      </c>
      <c r="K524">
        <v>0.75</v>
      </c>
    </row>
    <row r="525" spans="1:11" x14ac:dyDescent="0.2">
      <c r="A525" t="s">
        <v>0</v>
      </c>
      <c r="B525">
        <v>67</v>
      </c>
      <c r="C525" t="s">
        <v>23</v>
      </c>
      <c r="D525" t="s">
        <v>2</v>
      </c>
      <c r="E525" t="s">
        <v>10</v>
      </c>
      <c r="F525">
        <v>0</v>
      </c>
      <c r="G525">
        <v>1</v>
      </c>
      <c r="H525">
        <v>0</v>
      </c>
      <c r="I525">
        <v>0</v>
      </c>
      <c r="J525">
        <v>1</v>
      </c>
      <c r="K525">
        <v>0.75</v>
      </c>
    </row>
    <row r="526" spans="1:11" x14ac:dyDescent="0.2">
      <c r="A526" t="s">
        <v>0</v>
      </c>
      <c r="B526">
        <v>67</v>
      </c>
      <c r="C526" t="s">
        <v>23</v>
      </c>
      <c r="D526" t="s">
        <v>6</v>
      </c>
      <c r="E526" t="s">
        <v>25</v>
      </c>
      <c r="F526">
        <v>0</v>
      </c>
      <c r="G526">
        <v>1</v>
      </c>
      <c r="H526">
        <v>0</v>
      </c>
      <c r="I526">
        <v>0</v>
      </c>
      <c r="J526">
        <v>1</v>
      </c>
      <c r="K526">
        <v>0.75</v>
      </c>
    </row>
    <row r="527" spans="1:11" x14ac:dyDescent="0.2">
      <c r="A527" t="s">
        <v>0</v>
      </c>
      <c r="B527">
        <v>67</v>
      </c>
      <c r="C527" t="s">
        <v>27</v>
      </c>
      <c r="D527" t="s">
        <v>2</v>
      </c>
      <c r="E527" t="s">
        <v>86</v>
      </c>
      <c r="F527">
        <v>0</v>
      </c>
      <c r="G527">
        <v>0</v>
      </c>
      <c r="H527">
        <v>1</v>
      </c>
      <c r="I527">
        <v>0</v>
      </c>
      <c r="J527">
        <v>1</v>
      </c>
      <c r="K527">
        <v>0.5</v>
      </c>
    </row>
    <row r="528" spans="1:11" x14ac:dyDescent="0.2">
      <c r="A528" t="s">
        <v>0</v>
      </c>
      <c r="B528">
        <v>67</v>
      </c>
      <c r="C528" t="s">
        <v>27</v>
      </c>
      <c r="D528" t="s">
        <v>6</v>
      </c>
      <c r="E528" t="s">
        <v>55</v>
      </c>
      <c r="F528">
        <v>0</v>
      </c>
      <c r="G528">
        <v>0</v>
      </c>
      <c r="H528">
        <v>3</v>
      </c>
      <c r="I528">
        <v>0</v>
      </c>
      <c r="J528">
        <v>3</v>
      </c>
      <c r="K528">
        <v>1.5</v>
      </c>
    </row>
    <row r="529" spans="1:11" x14ac:dyDescent="0.2">
      <c r="A529" t="s">
        <v>0</v>
      </c>
      <c r="B529">
        <v>68</v>
      </c>
      <c r="C529" t="s">
        <v>4</v>
      </c>
      <c r="D529" t="s">
        <v>33</v>
      </c>
      <c r="E529" t="s">
        <v>36</v>
      </c>
      <c r="F529">
        <v>0</v>
      </c>
      <c r="G529">
        <v>1</v>
      </c>
      <c r="H529">
        <v>0</v>
      </c>
      <c r="I529">
        <v>0</v>
      </c>
      <c r="J529">
        <v>1</v>
      </c>
      <c r="K529">
        <v>0.75</v>
      </c>
    </row>
    <row r="530" spans="1:11" x14ac:dyDescent="0.2">
      <c r="A530" t="s">
        <v>0</v>
      </c>
      <c r="B530">
        <v>68</v>
      </c>
      <c r="C530" t="s">
        <v>15</v>
      </c>
      <c r="D530" t="s">
        <v>2</v>
      </c>
      <c r="E530" t="s">
        <v>16</v>
      </c>
      <c r="F530">
        <v>0</v>
      </c>
      <c r="G530">
        <v>0</v>
      </c>
      <c r="H530">
        <v>0</v>
      </c>
      <c r="I530">
        <v>1</v>
      </c>
      <c r="J530">
        <v>1</v>
      </c>
      <c r="K530">
        <v>0.1</v>
      </c>
    </row>
    <row r="531" spans="1:11" x14ac:dyDescent="0.2">
      <c r="A531" t="s">
        <v>0</v>
      </c>
      <c r="B531">
        <v>68</v>
      </c>
      <c r="C531" t="s">
        <v>18</v>
      </c>
      <c r="D531" t="s">
        <v>2</v>
      </c>
      <c r="E531" t="s">
        <v>54</v>
      </c>
      <c r="F531">
        <v>0</v>
      </c>
      <c r="G531">
        <v>0</v>
      </c>
      <c r="H531">
        <v>0</v>
      </c>
      <c r="I531">
        <v>1</v>
      </c>
      <c r="J531">
        <v>1</v>
      </c>
      <c r="K531">
        <v>0.1</v>
      </c>
    </row>
    <row r="532" spans="1:11" x14ac:dyDescent="0.2">
      <c r="A532" t="s">
        <v>0</v>
      </c>
      <c r="B532">
        <v>68</v>
      </c>
      <c r="C532" t="s">
        <v>27</v>
      </c>
      <c r="D532" t="s">
        <v>2</v>
      </c>
      <c r="E532" t="s">
        <v>42</v>
      </c>
      <c r="F532">
        <v>0</v>
      </c>
      <c r="G532">
        <v>1</v>
      </c>
      <c r="H532">
        <v>0</v>
      </c>
      <c r="I532">
        <v>0</v>
      </c>
      <c r="J532">
        <v>1</v>
      </c>
      <c r="K532">
        <v>0.75</v>
      </c>
    </row>
    <row r="533" spans="1:11" x14ac:dyDescent="0.2">
      <c r="A533" t="s">
        <v>0</v>
      </c>
      <c r="B533">
        <v>68</v>
      </c>
      <c r="C533" t="s">
        <v>27</v>
      </c>
      <c r="D533" t="s">
        <v>2</v>
      </c>
      <c r="E533" t="s">
        <v>87</v>
      </c>
      <c r="F533">
        <v>0</v>
      </c>
      <c r="G533">
        <v>1</v>
      </c>
      <c r="H533">
        <v>0</v>
      </c>
      <c r="I533">
        <v>0</v>
      </c>
      <c r="J533">
        <v>1</v>
      </c>
      <c r="K533">
        <v>0.75</v>
      </c>
    </row>
    <row r="534" spans="1:11" x14ac:dyDescent="0.2">
      <c r="A534" t="s">
        <v>0</v>
      </c>
      <c r="B534">
        <v>69</v>
      </c>
      <c r="C534" t="s">
        <v>15</v>
      </c>
      <c r="D534" t="s">
        <v>2</v>
      </c>
      <c r="E534" t="s">
        <v>16</v>
      </c>
      <c r="F534">
        <v>0</v>
      </c>
      <c r="G534">
        <v>0</v>
      </c>
      <c r="H534">
        <v>0</v>
      </c>
      <c r="I534">
        <v>2</v>
      </c>
      <c r="J534">
        <v>2</v>
      </c>
      <c r="K534">
        <v>0.2</v>
      </c>
    </row>
    <row r="535" spans="1:11" x14ac:dyDescent="0.2">
      <c r="A535" t="s">
        <v>0</v>
      </c>
      <c r="B535">
        <v>69</v>
      </c>
      <c r="C535" t="s">
        <v>18</v>
      </c>
      <c r="D535" t="s">
        <v>2</v>
      </c>
      <c r="E535" t="s">
        <v>54</v>
      </c>
      <c r="F535">
        <v>0</v>
      </c>
      <c r="G535">
        <v>0</v>
      </c>
      <c r="H535">
        <v>0</v>
      </c>
      <c r="I535">
        <v>1</v>
      </c>
      <c r="J535">
        <v>1</v>
      </c>
      <c r="K535">
        <v>0.1</v>
      </c>
    </row>
    <row r="536" spans="1:11" x14ac:dyDescent="0.2">
      <c r="A536" t="s">
        <v>0</v>
      </c>
      <c r="B536">
        <v>69</v>
      </c>
      <c r="C536" t="s">
        <v>23</v>
      </c>
      <c r="D536" t="s">
        <v>6</v>
      </c>
      <c r="E536" t="s">
        <v>24</v>
      </c>
      <c r="F536">
        <v>0</v>
      </c>
      <c r="G536">
        <v>0</v>
      </c>
      <c r="H536">
        <v>2</v>
      </c>
      <c r="I536">
        <v>0</v>
      </c>
      <c r="J536">
        <v>2</v>
      </c>
      <c r="K536">
        <v>1</v>
      </c>
    </row>
    <row r="537" spans="1:11" x14ac:dyDescent="0.2">
      <c r="A537" t="s">
        <v>0</v>
      </c>
      <c r="B537">
        <v>69</v>
      </c>
      <c r="C537" t="s">
        <v>23</v>
      </c>
      <c r="D537" t="s">
        <v>2</v>
      </c>
      <c r="E537" t="s">
        <v>35</v>
      </c>
      <c r="F537">
        <v>0</v>
      </c>
      <c r="G537">
        <v>0</v>
      </c>
      <c r="H537">
        <v>1</v>
      </c>
      <c r="I537">
        <v>0</v>
      </c>
      <c r="J537">
        <v>1</v>
      </c>
      <c r="K537">
        <v>0.5</v>
      </c>
    </row>
    <row r="538" spans="1:11" x14ac:dyDescent="0.2">
      <c r="A538" t="s">
        <v>0</v>
      </c>
      <c r="B538">
        <v>70</v>
      </c>
      <c r="C538" t="s">
        <v>4</v>
      </c>
      <c r="D538" t="s">
        <v>6</v>
      </c>
      <c r="E538" t="s">
        <v>45</v>
      </c>
      <c r="F538">
        <v>0</v>
      </c>
      <c r="G538">
        <v>1</v>
      </c>
      <c r="H538">
        <v>0</v>
      </c>
      <c r="I538">
        <v>1</v>
      </c>
      <c r="J538">
        <v>2</v>
      </c>
      <c r="K538">
        <v>0.85</v>
      </c>
    </row>
    <row r="539" spans="1:11" x14ac:dyDescent="0.2">
      <c r="A539" t="s">
        <v>0</v>
      </c>
      <c r="B539">
        <v>70</v>
      </c>
      <c r="C539" t="s">
        <v>4</v>
      </c>
      <c r="D539" t="s">
        <v>2</v>
      </c>
      <c r="E539" t="s">
        <v>32</v>
      </c>
      <c r="F539">
        <v>1</v>
      </c>
      <c r="G539">
        <v>0</v>
      </c>
      <c r="H539">
        <v>0</v>
      </c>
      <c r="I539">
        <v>1</v>
      </c>
      <c r="J539">
        <v>2</v>
      </c>
      <c r="K539">
        <v>1.1000000000000001</v>
      </c>
    </row>
    <row r="540" spans="1:11" x14ac:dyDescent="0.2">
      <c r="A540" t="s">
        <v>0</v>
      </c>
      <c r="B540">
        <v>70</v>
      </c>
      <c r="C540" t="s">
        <v>1</v>
      </c>
      <c r="D540" t="s">
        <v>33</v>
      </c>
      <c r="E540" t="s">
        <v>45</v>
      </c>
      <c r="F540">
        <v>0</v>
      </c>
      <c r="G540">
        <v>1</v>
      </c>
      <c r="H540">
        <v>0</v>
      </c>
      <c r="I540">
        <v>1</v>
      </c>
      <c r="J540">
        <v>2</v>
      </c>
      <c r="K540">
        <v>0.85</v>
      </c>
    </row>
    <row r="541" spans="1:11" x14ac:dyDescent="0.2">
      <c r="A541" t="s">
        <v>0</v>
      </c>
      <c r="B541">
        <v>70</v>
      </c>
      <c r="C541" t="s">
        <v>15</v>
      </c>
      <c r="D541" t="s">
        <v>2</v>
      </c>
      <c r="E541" t="s">
        <v>16</v>
      </c>
      <c r="F541">
        <v>0</v>
      </c>
      <c r="G541">
        <v>0</v>
      </c>
      <c r="H541">
        <v>0</v>
      </c>
      <c r="I541">
        <v>2</v>
      </c>
      <c r="J541">
        <v>2</v>
      </c>
      <c r="K541">
        <v>0.2</v>
      </c>
    </row>
    <row r="542" spans="1:11" x14ac:dyDescent="0.2">
      <c r="A542" t="s">
        <v>0</v>
      </c>
      <c r="B542">
        <v>70</v>
      </c>
      <c r="C542" t="s">
        <v>23</v>
      </c>
      <c r="D542" t="s">
        <v>33</v>
      </c>
      <c r="E542" t="s">
        <v>34</v>
      </c>
      <c r="F542">
        <v>0</v>
      </c>
      <c r="G542">
        <v>1</v>
      </c>
      <c r="H542">
        <v>1</v>
      </c>
      <c r="I542">
        <v>0</v>
      </c>
      <c r="J542">
        <v>2</v>
      </c>
      <c r="K542">
        <v>1.35</v>
      </c>
    </row>
    <row r="543" spans="1:11" x14ac:dyDescent="0.2">
      <c r="A543" t="s">
        <v>0</v>
      </c>
      <c r="B543">
        <v>71</v>
      </c>
      <c r="C543" t="s">
        <v>4</v>
      </c>
      <c r="D543" t="s">
        <v>2</v>
      </c>
      <c r="E543" t="s">
        <v>7</v>
      </c>
      <c r="F543">
        <v>0</v>
      </c>
      <c r="G543">
        <v>2</v>
      </c>
      <c r="H543">
        <v>0</v>
      </c>
      <c r="I543">
        <v>0</v>
      </c>
      <c r="J543">
        <v>2</v>
      </c>
      <c r="K543">
        <v>1.5</v>
      </c>
    </row>
    <row r="544" spans="1:11" x14ac:dyDescent="0.2">
      <c r="A544" t="s">
        <v>0</v>
      </c>
      <c r="B544">
        <v>71</v>
      </c>
      <c r="C544" t="s">
        <v>15</v>
      </c>
      <c r="D544" t="s">
        <v>2</v>
      </c>
      <c r="E544" t="s">
        <v>16</v>
      </c>
      <c r="F544">
        <v>0</v>
      </c>
      <c r="G544">
        <v>0</v>
      </c>
      <c r="H544">
        <v>0</v>
      </c>
      <c r="I544">
        <v>1</v>
      </c>
      <c r="J544">
        <v>1</v>
      </c>
      <c r="K544">
        <v>0.1</v>
      </c>
    </row>
    <row r="545" spans="1:11" x14ac:dyDescent="0.2">
      <c r="A545" t="s">
        <v>0</v>
      </c>
      <c r="B545">
        <v>72</v>
      </c>
      <c r="C545" t="s">
        <v>27</v>
      </c>
      <c r="D545" t="s">
        <v>2</v>
      </c>
      <c r="E545" t="s">
        <v>49</v>
      </c>
      <c r="F545">
        <v>1</v>
      </c>
      <c r="G545">
        <v>0</v>
      </c>
      <c r="H545">
        <v>0</v>
      </c>
      <c r="I545">
        <v>0</v>
      </c>
      <c r="J545">
        <v>1</v>
      </c>
      <c r="K545">
        <v>1</v>
      </c>
    </row>
    <row r="546" spans="1:11" x14ac:dyDescent="0.2">
      <c r="A546" t="s">
        <v>0</v>
      </c>
      <c r="B546">
        <v>72</v>
      </c>
      <c r="C546" t="s">
        <v>27</v>
      </c>
      <c r="D546" t="s">
        <v>6</v>
      </c>
      <c r="E546" t="s">
        <v>50</v>
      </c>
      <c r="F546">
        <v>0</v>
      </c>
      <c r="G546">
        <v>0</v>
      </c>
      <c r="H546">
        <v>1</v>
      </c>
      <c r="I546">
        <v>0</v>
      </c>
      <c r="J546">
        <v>1</v>
      </c>
      <c r="K546">
        <v>0.5</v>
      </c>
    </row>
    <row r="547" spans="1:11" x14ac:dyDescent="0.2">
      <c r="A547" t="s">
        <v>0</v>
      </c>
      <c r="B547">
        <v>72</v>
      </c>
      <c r="C547" t="s">
        <v>27</v>
      </c>
      <c r="D547" t="s">
        <v>33</v>
      </c>
      <c r="E547" t="s">
        <v>50</v>
      </c>
      <c r="F547">
        <v>0</v>
      </c>
      <c r="G547">
        <v>0</v>
      </c>
      <c r="H547">
        <v>1</v>
      </c>
      <c r="I547">
        <v>0</v>
      </c>
      <c r="J547">
        <v>1</v>
      </c>
      <c r="K547">
        <v>0.5</v>
      </c>
    </row>
    <row r="548" spans="1:11" x14ac:dyDescent="0.2">
      <c r="A548" t="s">
        <v>0</v>
      </c>
      <c r="B548">
        <v>73</v>
      </c>
      <c r="C548" t="s">
        <v>15</v>
      </c>
      <c r="D548" t="s">
        <v>2</v>
      </c>
      <c r="E548" t="s">
        <v>46</v>
      </c>
      <c r="F548">
        <v>1</v>
      </c>
      <c r="G548">
        <v>0</v>
      </c>
      <c r="H548">
        <v>0</v>
      </c>
      <c r="I548">
        <v>0</v>
      </c>
      <c r="J548">
        <v>1</v>
      </c>
      <c r="K548">
        <v>1</v>
      </c>
    </row>
    <row r="549" spans="1:11" x14ac:dyDescent="0.2">
      <c r="A549" t="s">
        <v>0</v>
      </c>
      <c r="B549">
        <v>73</v>
      </c>
      <c r="C549" t="s">
        <v>18</v>
      </c>
      <c r="D549" t="s">
        <v>2</v>
      </c>
      <c r="E549" t="s">
        <v>54</v>
      </c>
      <c r="F549">
        <v>0</v>
      </c>
      <c r="G549">
        <v>0</v>
      </c>
      <c r="H549">
        <v>0</v>
      </c>
      <c r="I549">
        <v>1</v>
      </c>
      <c r="J549">
        <v>1</v>
      </c>
      <c r="K549">
        <v>0.1</v>
      </c>
    </row>
    <row r="550" spans="1:11" x14ac:dyDescent="0.2">
      <c r="A550" t="s">
        <v>0</v>
      </c>
      <c r="B550">
        <v>73</v>
      </c>
      <c r="C550" t="s">
        <v>23</v>
      </c>
      <c r="D550" t="s">
        <v>2</v>
      </c>
      <c r="E550" t="s">
        <v>35</v>
      </c>
      <c r="F550">
        <v>0</v>
      </c>
      <c r="G550">
        <v>0</v>
      </c>
      <c r="H550">
        <v>1</v>
      </c>
      <c r="I550">
        <v>0</v>
      </c>
      <c r="J550">
        <v>1</v>
      </c>
      <c r="K550">
        <v>0.5</v>
      </c>
    </row>
    <row r="551" spans="1:11" x14ac:dyDescent="0.2">
      <c r="A551" t="s">
        <v>0</v>
      </c>
      <c r="B551">
        <v>73</v>
      </c>
      <c r="C551" t="s">
        <v>27</v>
      </c>
      <c r="D551" t="s">
        <v>2</v>
      </c>
      <c r="E551" t="s">
        <v>49</v>
      </c>
      <c r="F551">
        <v>3</v>
      </c>
      <c r="G551">
        <v>0</v>
      </c>
      <c r="H551">
        <v>0</v>
      </c>
      <c r="I551">
        <v>0</v>
      </c>
      <c r="J551">
        <v>3</v>
      </c>
      <c r="K551">
        <v>3</v>
      </c>
    </row>
    <row r="552" spans="1:11" x14ac:dyDescent="0.2">
      <c r="A552" t="s">
        <v>0</v>
      </c>
      <c r="B552">
        <v>73</v>
      </c>
      <c r="C552" t="s">
        <v>27</v>
      </c>
      <c r="D552" t="s">
        <v>6</v>
      </c>
      <c r="E552" t="s">
        <v>50</v>
      </c>
      <c r="F552">
        <v>0</v>
      </c>
      <c r="G552">
        <v>0</v>
      </c>
      <c r="H552">
        <v>3</v>
      </c>
      <c r="I552">
        <v>0</v>
      </c>
      <c r="J552">
        <v>3</v>
      </c>
      <c r="K552">
        <v>1.5</v>
      </c>
    </row>
    <row r="553" spans="1:11" x14ac:dyDescent="0.2">
      <c r="A553" t="s">
        <v>0</v>
      </c>
      <c r="B553">
        <v>73</v>
      </c>
      <c r="C553" t="s">
        <v>27</v>
      </c>
      <c r="D553" t="s">
        <v>33</v>
      </c>
      <c r="E553" t="s">
        <v>50</v>
      </c>
      <c r="F553">
        <v>0</v>
      </c>
      <c r="G553">
        <v>0</v>
      </c>
      <c r="H553">
        <v>3</v>
      </c>
      <c r="I553">
        <v>0</v>
      </c>
      <c r="J553">
        <v>3</v>
      </c>
      <c r="K553">
        <v>1.5</v>
      </c>
    </row>
    <row r="554" spans="1:11" x14ac:dyDescent="0.2">
      <c r="A554" t="s">
        <v>0</v>
      </c>
      <c r="B554">
        <v>74</v>
      </c>
      <c r="C554" t="s">
        <v>4</v>
      </c>
      <c r="D554" t="s">
        <v>6</v>
      </c>
      <c r="E554" t="s">
        <v>45</v>
      </c>
      <c r="F554">
        <v>0</v>
      </c>
      <c r="G554">
        <v>0</v>
      </c>
      <c r="H554">
        <v>1</v>
      </c>
      <c r="I554">
        <v>1</v>
      </c>
      <c r="J554">
        <v>2</v>
      </c>
      <c r="K554">
        <v>0.6</v>
      </c>
    </row>
    <row r="555" spans="1:11" x14ac:dyDescent="0.2">
      <c r="A555" t="s">
        <v>0</v>
      </c>
      <c r="B555">
        <v>74</v>
      </c>
      <c r="C555" t="s">
        <v>4</v>
      </c>
      <c r="D555" t="s">
        <v>2</v>
      </c>
      <c r="E555" t="s">
        <v>48</v>
      </c>
      <c r="F555">
        <v>0</v>
      </c>
      <c r="G555">
        <v>1</v>
      </c>
      <c r="H555">
        <v>0</v>
      </c>
      <c r="I555">
        <v>0</v>
      </c>
      <c r="J555">
        <v>1</v>
      </c>
      <c r="K555">
        <v>0.75</v>
      </c>
    </row>
    <row r="556" spans="1:11" x14ac:dyDescent="0.2">
      <c r="A556" t="s">
        <v>0</v>
      </c>
      <c r="B556">
        <v>74</v>
      </c>
      <c r="C556" t="s">
        <v>4</v>
      </c>
      <c r="D556" t="s">
        <v>2</v>
      </c>
      <c r="E556" t="s">
        <v>7</v>
      </c>
      <c r="F556">
        <v>0</v>
      </c>
      <c r="G556">
        <v>4</v>
      </c>
      <c r="H556">
        <v>0</v>
      </c>
      <c r="I556">
        <v>0</v>
      </c>
      <c r="J556">
        <v>4</v>
      </c>
      <c r="K556">
        <v>3</v>
      </c>
    </row>
    <row r="557" spans="1:11" x14ac:dyDescent="0.2">
      <c r="A557" t="s">
        <v>0</v>
      </c>
      <c r="B557">
        <v>74</v>
      </c>
      <c r="C557" t="s">
        <v>4</v>
      </c>
      <c r="D557" t="s">
        <v>2</v>
      </c>
      <c r="E557" t="s">
        <v>32</v>
      </c>
      <c r="F557">
        <v>2</v>
      </c>
      <c r="G557">
        <v>7</v>
      </c>
      <c r="H557">
        <v>0</v>
      </c>
      <c r="I557">
        <v>0</v>
      </c>
      <c r="J557">
        <v>9</v>
      </c>
      <c r="K557">
        <v>7.25</v>
      </c>
    </row>
    <row r="558" spans="1:11" x14ac:dyDescent="0.2">
      <c r="A558" t="s">
        <v>0</v>
      </c>
      <c r="B558">
        <v>74</v>
      </c>
      <c r="C558" t="s">
        <v>1</v>
      </c>
      <c r="D558" t="s">
        <v>33</v>
      </c>
      <c r="E558" t="s">
        <v>45</v>
      </c>
      <c r="F558">
        <v>0</v>
      </c>
      <c r="G558">
        <v>0</v>
      </c>
      <c r="H558">
        <v>1</v>
      </c>
      <c r="I558">
        <v>1</v>
      </c>
      <c r="J558">
        <v>2</v>
      </c>
      <c r="K558">
        <v>0.6</v>
      </c>
    </row>
    <row r="559" spans="1:11" x14ac:dyDescent="0.2">
      <c r="A559" t="s">
        <v>0</v>
      </c>
      <c r="B559">
        <v>74</v>
      </c>
      <c r="C559" t="s">
        <v>1</v>
      </c>
      <c r="D559" t="s">
        <v>2</v>
      </c>
      <c r="E559" t="s">
        <v>48</v>
      </c>
      <c r="F559">
        <v>0</v>
      </c>
      <c r="G559">
        <v>1</v>
      </c>
      <c r="H559">
        <v>0</v>
      </c>
      <c r="I559">
        <v>0</v>
      </c>
      <c r="J559">
        <v>1</v>
      </c>
      <c r="K559">
        <v>0.75</v>
      </c>
    </row>
    <row r="560" spans="1:11" x14ac:dyDescent="0.2">
      <c r="A560" t="s">
        <v>0</v>
      </c>
      <c r="B560">
        <v>74</v>
      </c>
      <c r="C560" t="s">
        <v>15</v>
      </c>
      <c r="D560" t="s">
        <v>2</v>
      </c>
      <c r="E560" t="s">
        <v>16</v>
      </c>
      <c r="F560">
        <v>0</v>
      </c>
      <c r="G560">
        <v>0</v>
      </c>
      <c r="H560">
        <v>0</v>
      </c>
      <c r="I560">
        <v>3</v>
      </c>
      <c r="J560">
        <v>3</v>
      </c>
      <c r="K560">
        <v>0.3</v>
      </c>
    </row>
    <row r="561" spans="1:11" x14ac:dyDescent="0.2">
      <c r="A561" t="s">
        <v>0</v>
      </c>
      <c r="B561">
        <v>74</v>
      </c>
      <c r="C561" t="s">
        <v>15</v>
      </c>
      <c r="D561" t="s">
        <v>2</v>
      </c>
      <c r="E561" t="s">
        <v>48</v>
      </c>
      <c r="F561">
        <v>0</v>
      </c>
      <c r="G561">
        <v>1</v>
      </c>
      <c r="H561">
        <v>0</v>
      </c>
      <c r="I561">
        <v>0</v>
      </c>
      <c r="J561">
        <v>1</v>
      </c>
      <c r="K561">
        <v>0.75</v>
      </c>
    </row>
    <row r="562" spans="1:11" x14ac:dyDescent="0.2">
      <c r="A562" t="s">
        <v>0</v>
      </c>
      <c r="B562">
        <v>74</v>
      </c>
      <c r="C562" t="s">
        <v>18</v>
      </c>
      <c r="D562" t="s">
        <v>6</v>
      </c>
      <c r="E562" t="s">
        <v>19</v>
      </c>
      <c r="F562">
        <v>0</v>
      </c>
      <c r="G562">
        <v>0</v>
      </c>
      <c r="H562">
        <v>0</v>
      </c>
      <c r="I562">
        <v>1</v>
      </c>
      <c r="J562">
        <v>1</v>
      </c>
      <c r="K562">
        <v>0.1</v>
      </c>
    </row>
    <row r="563" spans="1:11" x14ac:dyDescent="0.2">
      <c r="A563" t="s">
        <v>0</v>
      </c>
      <c r="B563">
        <v>74</v>
      </c>
      <c r="C563" t="s">
        <v>18</v>
      </c>
      <c r="D563" t="s">
        <v>2</v>
      </c>
      <c r="E563" t="s">
        <v>54</v>
      </c>
      <c r="F563">
        <v>0</v>
      </c>
      <c r="G563">
        <v>0</v>
      </c>
      <c r="H563">
        <v>0</v>
      </c>
      <c r="I563">
        <v>1</v>
      </c>
      <c r="J563">
        <v>1</v>
      </c>
      <c r="K563">
        <v>0.1</v>
      </c>
    </row>
    <row r="564" spans="1:11" x14ac:dyDescent="0.2">
      <c r="A564" t="s">
        <v>0</v>
      </c>
      <c r="B564">
        <v>74</v>
      </c>
      <c r="C564" t="s">
        <v>23</v>
      </c>
      <c r="D564" t="s">
        <v>33</v>
      </c>
      <c r="E564" t="s">
        <v>34</v>
      </c>
      <c r="F564">
        <v>0</v>
      </c>
      <c r="G564">
        <v>9</v>
      </c>
      <c r="H564">
        <v>0</v>
      </c>
      <c r="I564">
        <v>0</v>
      </c>
      <c r="J564">
        <v>9</v>
      </c>
      <c r="K564">
        <v>6.75</v>
      </c>
    </row>
    <row r="565" spans="1:11" x14ac:dyDescent="0.2">
      <c r="A565" t="s">
        <v>0</v>
      </c>
      <c r="B565">
        <v>74</v>
      </c>
      <c r="C565" t="s">
        <v>23</v>
      </c>
      <c r="D565" t="s">
        <v>2</v>
      </c>
      <c r="E565" t="s">
        <v>48</v>
      </c>
      <c r="F565">
        <v>0</v>
      </c>
      <c r="G565">
        <v>1</v>
      </c>
      <c r="H565">
        <v>0</v>
      </c>
      <c r="I565">
        <v>0</v>
      </c>
      <c r="J565">
        <v>1</v>
      </c>
      <c r="K565">
        <v>0.75</v>
      </c>
    </row>
    <row r="566" spans="1:11" x14ac:dyDescent="0.2">
      <c r="A566" t="s">
        <v>0</v>
      </c>
      <c r="B566">
        <v>74</v>
      </c>
      <c r="C566" t="s">
        <v>23</v>
      </c>
      <c r="D566" t="s">
        <v>2</v>
      </c>
      <c r="E566" t="s">
        <v>58</v>
      </c>
      <c r="F566">
        <v>0</v>
      </c>
      <c r="G566">
        <v>0</v>
      </c>
      <c r="H566">
        <v>1</v>
      </c>
      <c r="I566">
        <v>0</v>
      </c>
      <c r="J566">
        <v>1</v>
      </c>
      <c r="K566">
        <v>0.5</v>
      </c>
    </row>
    <row r="567" spans="1:11" x14ac:dyDescent="0.2">
      <c r="A567" t="s">
        <v>0</v>
      </c>
      <c r="B567">
        <v>74</v>
      </c>
      <c r="C567" t="s">
        <v>23</v>
      </c>
      <c r="D567" t="s">
        <v>2</v>
      </c>
      <c r="E567" t="s">
        <v>35</v>
      </c>
      <c r="F567">
        <v>0</v>
      </c>
      <c r="G567">
        <v>0</v>
      </c>
      <c r="H567">
        <v>1</v>
      </c>
      <c r="I567">
        <v>0</v>
      </c>
      <c r="J567">
        <v>1</v>
      </c>
      <c r="K567">
        <v>0.5</v>
      </c>
    </row>
    <row r="568" spans="1:11" x14ac:dyDescent="0.2">
      <c r="A568" t="s">
        <v>0</v>
      </c>
      <c r="B568">
        <v>75</v>
      </c>
      <c r="C568" t="s">
        <v>18</v>
      </c>
      <c r="D568" t="s">
        <v>2</v>
      </c>
      <c r="E568" t="s">
        <v>21</v>
      </c>
      <c r="F568">
        <v>0</v>
      </c>
      <c r="G568">
        <v>0</v>
      </c>
      <c r="H568">
        <v>0</v>
      </c>
      <c r="I568">
        <v>1</v>
      </c>
      <c r="J568">
        <v>1</v>
      </c>
      <c r="K568">
        <v>0.1</v>
      </c>
    </row>
    <row r="569" spans="1:11" x14ac:dyDescent="0.2">
      <c r="A569" t="s">
        <v>0</v>
      </c>
      <c r="B569">
        <v>75</v>
      </c>
      <c r="C569" t="s">
        <v>23</v>
      </c>
      <c r="D569" t="s">
        <v>33</v>
      </c>
      <c r="E569" t="s">
        <v>40</v>
      </c>
      <c r="F569">
        <v>0</v>
      </c>
      <c r="G569">
        <v>1</v>
      </c>
      <c r="H569">
        <v>1</v>
      </c>
      <c r="I569">
        <v>0</v>
      </c>
      <c r="J569">
        <v>2</v>
      </c>
      <c r="K569">
        <v>1.25</v>
      </c>
    </row>
    <row r="570" spans="1:11" x14ac:dyDescent="0.2">
      <c r="A570" t="s">
        <v>0</v>
      </c>
      <c r="B570">
        <v>76</v>
      </c>
      <c r="C570" t="s">
        <v>4</v>
      </c>
      <c r="D570" t="s">
        <v>2</v>
      </c>
      <c r="E570" t="s">
        <v>5</v>
      </c>
      <c r="F570">
        <v>0</v>
      </c>
      <c r="G570">
        <v>0</v>
      </c>
      <c r="H570">
        <v>0</v>
      </c>
      <c r="I570">
        <v>1</v>
      </c>
      <c r="J570">
        <v>1</v>
      </c>
      <c r="K570">
        <v>0.1</v>
      </c>
    </row>
    <row r="571" spans="1:11" x14ac:dyDescent="0.2">
      <c r="A571" t="s">
        <v>0</v>
      </c>
      <c r="B571">
        <v>76</v>
      </c>
      <c r="C571" t="s">
        <v>4</v>
      </c>
      <c r="D571" t="s">
        <v>6</v>
      </c>
      <c r="E571" t="s">
        <v>5</v>
      </c>
      <c r="F571">
        <v>0</v>
      </c>
      <c r="G571">
        <v>0</v>
      </c>
      <c r="H571">
        <v>0</v>
      </c>
      <c r="I571">
        <v>1</v>
      </c>
      <c r="J571">
        <v>1</v>
      </c>
      <c r="K571">
        <v>0.1</v>
      </c>
    </row>
    <row r="572" spans="1:11" x14ac:dyDescent="0.2">
      <c r="A572" t="s">
        <v>0</v>
      </c>
      <c r="B572">
        <v>76</v>
      </c>
      <c r="C572" t="s">
        <v>4</v>
      </c>
      <c r="D572" t="s">
        <v>2</v>
      </c>
      <c r="E572" t="s">
        <v>48</v>
      </c>
      <c r="F572">
        <v>1</v>
      </c>
      <c r="G572">
        <v>0</v>
      </c>
      <c r="H572">
        <v>0</v>
      </c>
      <c r="I572">
        <v>0</v>
      </c>
      <c r="J572">
        <v>1</v>
      </c>
      <c r="K572">
        <v>1</v>
      </c>
    </row>
    <row r="573" spans="1:11" x14ac:dyDescent="0.2">
      <c r="A573" t="s">
        <v>0</v>
      </c>
      <c r="B573">
        <v>76</v>
      </c>
      <c r="C573" t="s">
        <v>4</v>
      </c>
      <c r="D573" t="s">
        <v>2</v>
      </c>
      <c r="E573" t="s">
        <v>32</v>
      </c>
      <c r="F573">
        <v>1</v>
      </c>
      <c r="G573">
        <v>0</v>
      </c>
      <c r="H573">
        <v>0</v>
      </c>
      <c r="I573">
        <v>1</v>
      </c>
      <c r="J573">
        <v>2</v>
      </c>
      <c r="K573">
        <v>1.1000000000000001</v>
      </c>
    </row>
    <row r="574" spans="1:11" x14ac:dyDescent="0.2">
      <c r="A574" t="s">
        <v>0</v>
      </c>
      <c r="B574">
        <v>76</v>
      </c>
      <c r="C574" t="s">
        <v>1</v>
      </c>
      <c r="D574" t="s">
        <v>2</v>
      </c>
      <c r="E574" t="s">
        <v>48</v>
      </c>
      <c r="F574">
        <v>1</v>
      </c>
      <c r="G574">
        <v>0</v>
      </c>
      <c r="H574">
        <v>0</v>
      </c>
      <c r="I574">
        <v>0</v>
      </c>
      <c r="J574">
        <v>1</v>
      </c>
      <c r="K574">
        <v>1</v>
      </c>
    </row>
    <row r="575" spans="1:11" x14ac:dyDescent="0.2">
      <c r="A575" t="s">
        <v>0</v>
      </c>
      <c r="B575">
        <v>76</v>
      </c>
      <c r="C575" t="s">
        <v>15</v>
      </c>
      <c r="D575" t="s">
        <v>2</v>
      </c>
      <c r="E575" t="s">
        <v>48</v>
      </c>
      <c r="F575">
        <v>1</v>
      </c>
      <c r="G575">
        <v>0</v>
      </c>
      <c r="H575">
        <v>0</v>
      </c>
      <c r="I575">
        <v>0</v>
      </c>
      <c r="J575">
        <v>1</v>
      </c>
      <c r="K575">
        <v>1</v>
      </c>
    </row>
    <row r="576" spans="1:11" x14ac:dyDescent="0.2">
      <c r="A576" t="s">
        <v>0</v>
      </c>
      <c r="B576">
        <v>76</v>
      </c>
      <c r="C576" t="s">
        <v>18</v>
      </c>
      <c r="D576" t="s">
        <v>2</v>
      </c>
      <c r="E576" t="s">
        <v>54</v>
      </c>
      <c r="F576">
        <v>0</v>
      </c>
      <c r="G576">
        <v>0</v>
      </c>
      <c r="H576">
        <v>0</v>
      </c>
      <c r="I576">
        <v>2</v>
      </c>
      <c r="J576">
        <v>2</v>
      </c>
      <c r="K576">
        <v>0.2</v>
      </c>
    </row>
    <row r="577" spans="1:11" x14ac:dyDescent="0.2">
      <c r="A577" t="s">
        <v>0</v>
      </c>
      <c r="B577">
        <v>76</v>
      </c>
      <c r="C577" t="s">
        <v>23</v>
      </c>
      <c r="D577" t="s">
        <v>33</v>
      </c>
      <c r="E577" t="s">
        <v>34</v>
      </c>
      <c r="F577">
        <v>0</v>
      </c>
      <c r="G577">
        <v>1</v>
      </c>
      <c r="H577">
        <v>0</v>
      </c>
      <c r="I577">
        <v>1</v>
      </c>
      <c r="J577">
        <v>2</v>
      </c>
      <c r="K577">
        <v>0.85</v>
      </c>
    </row>
    <row r="578" spans="1:11" x14ac:dyDescent="0.2">
      <c r="A578" t="s">
        <v>0</v>
      </c>
      <c r="B578">
        <v>76</v>
      </c>
      <c r="C578" t="s">
        <v>23</v>
      </c>
      <c r="D578" t="s">
        <v>2</v>
      </c>
      <c r="E578" t="s">
        <v>48</v>
      </c>
      <c r="F578">
        <v>1</v>
      </c>
      <c r="G578">
        <v>0</v>
      </c>
      <c r="H578">
        <v>0</v>
      </c>
      <c r="I578">
        <v>0</v>
      </c>
      <c r="J578">
        <v>1</v>
      </c>
      <c r="K578">
        <v>1</v>
      </c>
    </row>
    <row r="579" spans="1:11" x14ac:dyDescent="0.2">
      <c r="A579" t="s">
        <v>0</v>
      </c>
      <c r="B579">
        <v>76</v>
      </c>
      <c r="C579" t="s">
        <v>23</v>
      </c>
      <c r="D579" t="s">
        <v>2</v>
      </c>
      <c r="E579" t="s">
        <v>58</v>
      </c>
      <c r="F579">
        <v>0</v>
      </c>
      <c r="G579">
        <v>0</v>
      </c>
      <c r="H579">
        <v>1</v>
      </c>
      <c r="I579">
        <v>0</v>
      </c>
      <c r="J579">
        <v>1</v>
      </c>
      <c r="K579">
        <v>0.5</v>
      </c>
    </row>
    <row r="580" spans="1:11" x14ac:dyDescent="0.2">
      <c r="A580" t="s">
        <v>0</v>
      </c>
      <c r="B580">
        <v>76</v>
      </c>
      <c r="C580" t="s">
        <v>23</v>
      </c>
      <c r="D580" t="s">
        <v>2</v>
      </c>
      <c r="E580" t="s">
        <v>35</v>
      </c>
      <c r="F580">
        <v>0</v>
      </c>
      <c r="G580">
        <v>0</v>
      </c>
      <c r="H580">
        <v>0</v>
      </c>
      <c r="I580">
        <v>1</v>
      </c>
      <c r="J580">
        <v>1</v>
      </c>
      <c r="K580">
        <v>0.1</v>
      </c>
    </row>
    <row r="581" spans="1:11" x14ac:dyDescent="0.2">
      <c r="A581" t="s">
        <v>0</v>
      </c>
      <c r="B581">
        <v>76</v>
      </c>
      <c r="C581" t="s">
        <v>27</v>
      </c>
      <c r="D581" t="s">
        <v>2</v>
      </c>
      <c r="E581" t="s">
        <v>5</v>
      </c>
      <c r="F581">
        <v>0</v>
      </c>
      <c r="G581">
        <v>0</v>
      </c>
      <c r="H581">
        <v>0</v>
      </c>
      <c r="I581">
        <v>1</v>
      </c>
      <c r="J581">
        <v>1</v>
      </c>
      <c r="K581">
        <v>0.1</v>
      </c>
    </row>
    <row r="582" spans="1:11" x14ac:dyDescent="0.2">
      <c r="A582" t="s">
        <v>0</v>
      </c>
      <c r="B582">
        <v>77</v>
      </c>
      <c r="C582" t="s">
        <v>4</v>
      </c>
      <c r="D582" t="s">
        <v>6</v>
      </c>
      <c r="E582" t="s">
        <v>45</v>
      </c>
      <c r="F582">
        <v>0</v>
      </c>
      <c r="G582">
        <v>0</v>
      </c>
      <c r="H582">
        <v>0</v>
      </c>
      <c r="I582">
        <v>1</v>
      </c>
      <c r="J582">
        <v>1</v>
      </c>
      <c r="K582">
        <v>0.1</v>
      </c>
    </row>
    <row r="583" spans="1:11" x14ac:dyDescent="0.2">
      <c r="A583" t="s">
        <v>0</v>
      </c>
      <c r="B583">
        <v>77</v>
      </c>
      <c r="C583" t="s">
        <v>4</v>
      </c>
      <c r="D583" t="s">
        <v>2</v>
      </c>
      <c r="E583" t="s">
        <v>48</v>
      </c>
      <c r="F583">
        <v>1</v>
      </c>
      <c r="G583">
        <v>0</v>
      </c>
      <c r="H583">
        <v>0</v>
      </c>
      <c r="I583">
        <v>0</v>
      </c>
      <c r="J583">
        <v>1</v>
      </c>
      <c r="K583">
        <v>1</v>
      </c>
    </row>
    <row r="584" spans="1:11" x14ac:dyDescent="0.2">
      <c r="A584" t="s">
        <v>0</v>
      </c>
      <c r="B584">
        <v>77</v>
      </c>
      <c r="C584" t="s">
        <v>4</v>
      </c>
      <c r="D584" t="s">
        <v>2</v>
      </c>
      <c r="E584" t="s">
        <v>32</v>
      </c>
      <c r="F584">
        <v>2</v>
      </c>
      <c r="G584">
        <v>0</v>
      </c>
      <c r="H584">
        <v>0</v>
      </c>
      <c r="I584">
        <v>0</v>
      </c>
      <c r="J584">
        <v>2</v>
      </c>
      <c r="K584">
        <v>2</v>
      </c>
    </row>
    <row r="585" spans="1:11" x14ac:dyDescent="0.2">
      <c r="A585" t="s">
        <v>0</v>
      </c>
      <c r="B585">
        <v>77</v>
      </c>
      <c r="C585" t="s">
        <v>1</v>
      </c>
      <c r="D585" t="s">
        <v>33</v>
      </c>
      <c r="E585" t="s">
        <v>45</v>
      </c>
      <c r="F585">
        <v>0</v>
      </c>
      <c r="G585">
        <v>0</v>
      </c>
      <c r="H585">
        <v>0</v>
      </c>
      <c r="I585">
        <v>1</v>
      </c>
      <c r="J585">
        <v>1</v>
      </c>
      <c r="K585">
        <v>0.1</v>
      </c>
    </row>
    <row r="586" spans="1:11" x14ac:dyDescent="0.2">
      <c r="A586" t="s">
        <v>0</v>
      </c>
      <c r="B586">
        <v>77</v>
      </c>
      <c r="C586" t="s">
        <v>1</v>
      </c>
      <c r="D586" t="s">
        <v>2</v>
      </c>
      <c r="E586" t="s">
        <v>48</v>
      </c>
      <c r="F586">
        <v>1</v>
      </c>
      <c r="G586">
        <v>0</v>
      </c>
      <c r="H586">
        <v>0</v>
      </c>
      <c r="I586">
        <v>0</v>
      </c>
      <c r="J586">
        <v>1</v>
      </c>
      <c r="K586">
        <v>1</v>
      </c>
    </row>
    <row r="587" spans="1:11" x14ac:dyDescent="0.2">
      <c r="A587" t="s">
        <v>0</v>
      </c>
      <c r="B587">
        <v>77</v>
      </c>
      <c r="C587" t="s">
        <v>15</v>
      </c>
      <c r="D587" t="s">
        <v>2</v>
      </c>
      <c r="E587" t="s">
        <v>16</v>
      </c>
      <c r="F587">
        <v>0</v>
      </c>
      <c r="G587">
        <v>0</v>
      </c>
      <c r="H587">
        <v>0</v>
      </c>
      <c r="I587">
        <v>1</v>
      </c>
      <c r="J587">
        <v>1</v>
      </c>
      <c r="K587">
        <v>0.1</v>
      </c>
    </row>
    <row r="588" spans="1:11" x14ac:dyDescent="0.2">
      <c r="A588" t="s">
        <v>0</v>
      </c>
      <c r="B588">
        <v>77</v>
      </c>
      <c r="C588" t="s">
        <v>15</v>
      </c>
      <c r="D588" t="s">
        <v>2</v>
      </c>
      <c r="E588" t="s">
        <v>48</v>
      </c>
      <c r="F588">
        <v>1</v>
      </c>
      <c r="G588">
        <v>0</v>
      </c>
      <c r="H588">
        <v>0</v>
      </c>
      <c r="I588">
        <v>0</v>
      </c>
      <c r="J588">
        <v>1</v>
      </c>
      <c r="K588">
        <v>1</v>
      </c>
    </row>
    <row r="589" spans="1:11" x14ac:dyDescent="0.2">
      <c r="A589" t="s">
        <v>0</v>
      </c>
      <c r="B589">
        <v>77</v>
      </c>
      <c r="C589" t="s">
        <v>18</v>
      </c>
      <c r="D589" t="s">
        <v>6</v>
      </c>
      <c r="E589" t="s">
        <v>19</v>
      </c>
      <c r="F589">
        <v>0</v>
      </c>
      <c r="G589">
        <v>0</v>
      </c>
      <c r="H589">
        <v>1</v>
      </c>
      <c r="I589">
        <v>0</v>
      </c>
      <c r="J589">
        <v>1</v>
      </c>
      <c r="K589">
        <v>0.5</v>
      </c>
    </row>
    <row r="590" spans="1:11" x14ac:dyDescent="0.2">
      <c r="A590" t="s">
        <v>0</v>
      </c>
      <c r="B590">
        <v>77</v>
      </c>
      <c r="C590" t="s">
        <v>18</v>
      </c>
      <c r="D590" t="s">
        <v>2</v>
      </c>
      <c r="E590" t="s">
        <v>21</v>
      </c>
      <c r="F590">
        <v>0</v>
      </c>
      <c r="G590">
        <v>0</v>
      </c>
      <c r="H590">
        <v>0</v>
      </c>
      <c r="I590">
        <v>1</v>
      </c>
      <c r="J590">
        <v>1</v>
      </c>
      <c r="K590">
        <v>0.1</v>
      </c>
    </row>
    <row r="591" spans="1:11" x14ac:dyDescent="0.2">
      <c r="A591" t="s">
        <v>0</v>
      </c>
      <c r="B591">
        <v>77</v>
      </c>
      <c r="C591" t="s">
        <v>18</v>
      </c>
      <c r="D591" t="s">
        <v>2</v>
      </c>
      <c r="E591" t="s">
        <v>54</v>
      </c>
      <c r="F591">
        <v>0</v>
      </c>
      <c r="G591">
        <v>0</v>
      </c>
      <c r="H591">
        <v>0</v>
      </c>
      <c r="I591">
        <v>1</v>
      </c>
      <c r="J591">
        <v>1</v>
      </c>
      <c r="K591">
        <v>0.1</v>
      </c>
    </row>
    <row r="592" spans="1:11" x14ac:dyDescent="0.2">
      <c r="A592" t="s">
        <v>0</v>
      </c>
      <c r="B592">
        <v>77</v>
      </c>
      <c r="C592" t="s">
        <v>18</v>
      </c>
      <c r="D592" t="s">
        <v>2</v>
      </c>
      <c r="E592" t="s">
        <v>97</v>
      </c>
      <c r="F592">
        <v>0</v>
      </c>
      <c r="G592">
        <v>2</v>
      </c>
      <c r="H592">
        <v>4</v>
      </c>
      <c r="I592">
        <v>0</v>
      </c>
      <c r="J592">
        <v>6</v>
      </c>
      <c r="K592">
        <v>3.5</v>
      </c>
    </row>
    <row r="593" spans="1:11" x14ac:dyDescent="0.2">
      <c r="A593" t="s">
        <v>0</v>
      </c>
      <c r="B593">
        <v>77</v>
      </c>
      <c r="C593" t="s">
        <v>23</v>
      </c>
      <c r="D593" t="s">
        <v>6</v>
      </c>
      <c r="E593" t="s">
        <v>24</v>
      </c>
      <c r="F593">
        <v>0</v>
      </c>
      <c r="G593">
        <v>0</v>
      </c>
      <c r="H593">
        <v>1</v>
      </c>
      <c r="I593">
        <v>0</v>
      </c>
      <c r="J593">
        <v>1</v>
      </c>
      <c r="K593">
        <v>0.5</v>
      </c>
    </row>
    <row r="594" spans="1:11" x14ac:dyDescent="0.2">
      <c r="A594" t="s">
        <v>0</v>
      </c>
      <c r="B594">
        <v>77</v>
      </c>
      <c r="C594" t="s">
        <v>23</v>
      </c>
      <c r="D594" t="s">
        <v>33</v>
      </c>
      <c r="E594" t="s">
        <v>34</v>
      </c>
      <c r="F594">
        <v>0</v>
      </c>
      <c r="G594">
        <v>2</v>
      </c>
      <c r="H594">
        <v>0</v>
      </c>
      <c r="I594">
        <v>0</v>
      </c>
      <c r="J594">
        <v>2</v>
      </c>
      <c r="K594">
        <v>1.5</v>
      </c>
    </row>
    <row r="595" spans="1:11" x14ac:dyDescent="0.2">
      <c r="A595" t="s">
        <v>0</v>
      </c>
      <c r="B595">
        <v>77</v>
      </c>
      <c r="C595" t="s">
        <v>23</v>
      </c>
      <c r="D595" t="s">
        <v>2</v>
      </c>
      <c r="E595" t="s">
        <v>48</v>
      </c>
      <c r="F595">
        <v>1</v>
      </c>
      <c r="G595">
        <v>0</v>
      </c>
      <c r="H595">
        <v>0</v>
      </c>
      <c r="I595">
        <v>0</v>
      </c>
      <c r="J595">
        <v>1</v>
      </c>
      <c r="K595">
        <v>1</v>
      </c>
    </row>
    <row r="596" spans="1:11" x14ac:dyDescent="0.2">
      <c r="A596" t="s">
        <v>0</v>
      </c>
      <c r="B596">
        <v>77</v>
      </c>
      <c r="C596" t="s">
        <v>23</v>
      </c>
      <c r="D596" t="s">
        <v>2</v>
      </c>
      <c r="E596" t="s">
        <v>58</v>
      </c>
      <c r="F596">
        <v>0</v>
      </c>
      <c r="G596">
        <v>0</v>
      </c>
      <c r="H596">
        <v>1</v>
      </c>
      <c r="I596">
        <v>0</v>
      </c>
      <c r="J596">
        <v>1</v>
      </c>
      <c r="K596">
        <v>0.5</v>
      </c>
    </row>
    <row r="597" spans="1:11" x14ac:dyDescent="0.2">
      <c r="A597" t="s">
        <v>0</v>
      </c>
      <c r="B597">
        <v>77</v>
      </c>
      <c r="C597" t="s">
        <v>27</v>
      </c>
      <c r="D597" t="s">
        <v>2</v>
      </c>
      <c r="E597" t="s">
        <v>42</v>
      </c>
      <c r="F597">
        <v>0</v>
      </c>
      <c r="G597">
        <v>0</v>
      </c>
      <c r="H597">
        <v>1</v>
      </c>
      <c r="I597">
        <v>0</v>
      </c>
      <c r="J597">
        <v>1</v>
      </c>
      <c r="K597">
        <v>0.5</v>
      </c>
    </row>
    <row r="598" spans="1:11" x14ac:dyDescent="0.2">
      <c r="A598" t="s">
        <v>0</v>
      </c>
      <c r="B598">
        <v>78</v>
      </c>
      <c r="C598" t="s">
        <v>4</v>
      </c>
      <c r="D598" t="s">
        <v>33</v>
      </c>
      <c r="E598" t="s">
        <v>36</v>
      </c>
      <c r="F598">
        <v>0</v>
      </c>
      <c r="G598">
        <v>1</v>
      </c>
      <c r="H598">
        <v>0</v>
      </c>
      <c r="I598">
        <v>0</v>
      </c>
      <c r="J598">
        <v>1</v>
      </c>
      <c r="K598">
        <v>0.75</v>
      </c>
    </row>
    <row r="599" spans="1:11" x14ac:dyDescent="0.2">
      <c r="A599" t="s">
        <v>0</v>
      </c>
      <c r="B599">
        <v>78</v>
      </c>
      <c r="C599" t="s">
        <v>15</v>
      </c>
      <c r="D599" t="s">
        <v>2</v>
      </c>
      <c r="E599" t="s">
        <v>68</v>
      </c>
      <c r="F599">
        <v>0</v>
      </c>
      <c r="G599">
        <v>0</v>
      </c>
      <c r="H599">
        <v>4</v>
      </c>
      <c r="I599">
        <v>0</v>
      </c>
      <c r="J599">
        <v>4</v>
      </c>
      <c r="K599">
        <v>2</v>
      </c>
    </row>
    <row r="600" spans="1:11" x14ac:dyDescent="0.2">
      <c r="A600" t="s">
        <v>0</v>
      </c>
      <c r="B600">
        <v>78</v>
      </c>
      <c r="C600" t="s">
        <v>18</v>
      </c>
      <c r="D600" t="s">
        <v>2</v>
      </c>
      <c r="E600" t="s">
        <v>21</v>
      </c>
      <c r="F600">
        <v>0</v>
      </c>
      <c r="G600">
        <v>0</v>
      </c>
      <c r="H600">
        <v>0</v>
      </c>
      <c r="I600">
        <v>1</v>
      </c>
      <c r="J600">
        <v>1</v>
      </c>
      <c r="K600">
        <v>0.1</v>
      </c>
    </row>
    <row r="601" spans="1:11" x14ac:dyDescent="0.2">
      <c r="A601" t="s">
        <v>0</v>
      </c>
      <c r="B601">
        <v>79</v>
      </c>
      <c r="C601" t="s">
        <v>4</v>
      </c>
      <c r="D601" t="s">
        <v>2</v>
      </c>
      <c r="E601" t="s">
        <v>32</v>
      </c>
      <c r="F601">
        <v>0</v>
      </c>
      <c r="G601">
        <v>1</v>
      </c>
      <c r="H601">
        <v>1</v>
      </c>
      <c r="I601">
        <v>2</v>
      </c>
      <c r="J601">
        <v>4</v>
      </c>
      <c r="K601">
        <v>1.45</v>
      </c>
    </row>
    <row r="602" spans="1:11" x14ac:dyDescent="0.2">
      <c r="A602" t="s">
        <v>0</v>
      </c>
      <c r="B602">
        <v>79</v>
      </c>
      <c r="C602" t="s">
        <v>18</v>
      </c>
      <c r="D602" t="s">
        <v>2</v>
      </c>
      <c r="E602" t="s">
        <v>54</v>
      </c>
      <c r="F602">
        <v>0</v>
      </c>
      <c r="G602">
        <v>0</v>
      </c>
      <c r="H602">
        <v>0</v>
      </c>
      <c r="I602">
        <v>1</v>
      </c>
      <c r="J602">
        <v>1</v>
      </c>
      <c r="K602">
        <v>0.1</v>
      </c>
    </row>
    <row r="603" spans="1:11" x14ac:dyDescent="0.2">
      <c r="A603" t="s">
        <v>0</v>
      </c>
      <c r="B603">
        <v>79</v>
      </c>
      <c r="C603" t="s">
        <v>23</v>
      </c>
      <c r="D603" t="s">
        <v>33</v>
      </c>
      <c r="E603" t="s">
        <v>34</v>
      </c>
      <c r="F603">
        <v>0</v>
      </c>
      <c r="G603">
        <v>1</v>
      </c>
      <c r="H603">
        <v>1</v>
      </c>
      <c r="I603">
        <v>2</v>
      </c>
      <c r="J603">
        <v>4</v>
      </c>
      <c r="K603">
        <v>1.45</v>
      </c>
    </row>
    <row r="604" spans="1:11" x14ac:dyDescent="0.2">
      <c r="A604" t="s">
        <v>0</v>
      </c>
      <c r="B604">
        <v>79</v>
      </c>
      <c r="C604" t="s">
        <v>23</v>
      </c>
      <c r="D604" t="s">
        <v>33</v>
      </c>
      <c r="E604" t="s">
        <v>40</v>
      </c>
      <c r="F604">
        <v>0</v>
      </c>
      <c r="G604">
        <v>0</v>
      </c>
      <c r="H604">
        <v>1</v>
      </c>
      <c r="I604">
        <v>0</v>
      </c>
      <c r="J604">
        <v>1</v>
      </c>
      <c r="K604">
        <v>0.5</v>
      </c>
    </row>
    <row r="605" spans="1:11" x14ac:dyDescent="0.2">
      <c r="A605" t="s">
        <v>0</v>
      </c>
      <c r="B605">
        <v>79</v>
      </c>
      <c r="C605" t="s">
        <v>23</v>
      </c>
      <c r="D605" t="s">
        <v>2</v>
      </c>
      <c r="E605" t="s">
        <v>58</v>
      </c>
      <c r="F605">
        <v>0</v>
      </c>
      <c r="G605">
        <v>0</v>
      </c>
      <c r="H605">
        <v>2</v>
      </c>
      <c r="I605">
        <v>0</v>
      </c>
      <c r="J605">
        <v>2</v>
      </c>
      <c r="K605">
        <v>1</v>
      </c>
    </row>
    <row r="606" spans="1:11" x14ac:dyDescent="0.2">
      <c r="A606" t="s">
        <v>0</v>
      </c>
      <c r="B606">
        <v>80</v>
      </c>
      <c r="C606" t="s">
        <v>4</v>
      </c>
      <c r="D606" t="s">
        <v>2</v>
      </c>
      <c r="E606" t="s">
        <v>32</v>
      </c>
      <c r="F606">
        <v>1</v>
      </c>
      <c r="G606">
        <v>0</v>
      </c>
      <c r="H606">
        <v>0</v>
      </c>
      <c r="I606">
        <v>1</v>
      </c>
      <c r="J606">
        <v>2</v>
      </c>
      <c r="K606">
        <v>1.1000000000000001</v>
      </c>
    </row>
    <row r="607" spans="1:11" x14ac:dyDescent="0.2">
      <c r="A607" t="s">
        <v>0</v>
      </c>
      <c r="B607">
        <v>80</v>
      </c>
      <c r="C607" t="s">
        <v>15</v>
      </c>
      <c r="D607" t="s">
        <v>2</v>
      </c>
      <c r="E607" t="s">
        <v>46</v>
      </c>
      <c r="F607">
        <v>1</v>
      </c>
      <c r="G607">
        <v>0</v>
      </c>
      <c r="H607">
        <v>0</v>
      </c>
      <c r="I607">
        <v>0</v>
      </c>
      <c r="J607">
        <v>1</v>
      </c>
      <c r="K607">
        <v>1</v>
      </c>
    </row>
    <row r="608" spans="1:11" x14ac:dyDescent="0.2">
      <c r="A608" t="s">
        <v>0</v>
      </c>
      <c r="B608">
        <v>80</v>
      </c>
      <c r="C608" t="s">
        <v>18</v>
      </c>
      <c r="D608" t="s">
        <v>6</v>
      </c>
      <c r="E608" t="s">
        <v>39</v>
      </c>
      <c r="F608">
        <v>0</v>
      </c>
      <c r="G608">
        <v>0</v>
      </c>
      <c r="H608">
        <v>5</v>
      </c>
      <c r="I608">
        <v>7</v>
      </c>
      <c r="J608">
        <v>12</v>
      </c>
      <c r="K608">
        <v>3.2</v>
      </c>
    </row>
    <row r="609" spans="1:11" x14ac:dyDescent="0.2">
      <c r="A609" t="s">
        <v>0</v>
      </c>
      <c r="B609">
        <v>80</v>
      </c>
      <c r="C609" t="s">
        <v>23</v>
      </c>
      <c r="D609" t="s">
        <v>33</v>
      </c>
      <c r="E609" t="s">
        <v>34</v>
      </c>
      <c r="F609">
        <v>0</v>
      </c>
      <c r="G609">
        <v>1</v>
      </c>
      <c r="H609">
        <v>0</v>
      </c>
      <c r="I609">
        <v>1</v>
      </c>
      <c r="J609">
        <v>2</v>
      </c>
      <c r="K609">
        <v>0.85</v>
      </c>
    </row>
    <row r="610" spans="1:11" x14ac:dyDescent="0.2">
      <c r="A610" t="s">
        <v>0</v>
      </c>
      <c r="B610">
        <v>81</v>
      </c>
      <c r="C610" t="s">
        <v>15</v>
      </c>
      <c r="D610" t="s">
        <v>2</v>
      </c>
      <c r="E610" t="s">
        <v>16</v>
      </c>
      <c r="F610">
        <v>0</v>
      </c>
      <c r="G610">
        <v>0</v>
      </c>
      <c r="H610">
        <v>0</v>
      </c>
      <c r="I610">
        <v>1</v>
      </c>
      <c r="J610">
        <v>1</v>
      </c>
      <c r="K610">
        <v>0.1</v>
      </c>
    </row>
    <row r="611" spans="1:11" x14ac:dyDescent="0.2">
      <c r="A611" t="s">
        <v>0</v>
      </c>
      <c r="B611">
        <v>81</v>
      </c>
      <c r="C611" t="s">
        <v>18</v>
      </c>
      <c r="D611" t="s">
        <v>6</v>
      </c>
      <c r="E611" t="s">
        <v>22</v>
      </c>
      <c r="F611">
        <v>1</v>
      </c>
      <c r="G611">
        <v>0</v>
      </c>
      <c r="H611">
        <v>0</v>
      </c>
      <c r="I611">
        <v>0</v>
      </c>
      <c r="J611">
        <v>1</v>
      </c>
      <c r="K611">
        <v>1</v>
      </c>
    </row>
    <row r="612" spans="1:11" x14ac:dyDescent="0.2">
      <c r="A612" t="s">
        <v>0</v>
      </c>
      <c r="B612">
        <v>81</v>
      </c>
      <c r="C612" t="s">
        <v>18</v>
      </c>
      <c r="D612" t="s">
        <v>6</v>
      </c>
      <c r="E612" t="s">
        <v>39</v>
      </c>
      <c r="F612">
        <v>0</v>
      </c>
      <c r="G612">
        <v>0</v>
      </c>
      <c r="H612">
        <v>0</v>
      </c>
      <c r="I612">
        <v>1</v>
      </c>
      <c r="J612">
        <v>1</v>
      </c>
      <c r="K612">
        <v>0.1</v>
      </c>
    </row>
    <row r="613" spans="1:11" x14ac:dyDescent="0.2">
      <c r="A613" t="s">
        <v>0</v>
      </c>
      <c r="B613">
        <v>81</v>
      </c>
      <c r="C613" t="s">
        <v>18</v>
      </c>
      <c r="D613" t="s">
        <v>2</v>
      </c>
      <c r="E613" t="s">
        <v>54</v>
      </c>
      <c r="F613">
        <v>0</v>
      </c>
      <c r="G613">
        <v>0</v>
      </c>
      <c r="H613">
        <v>0</v>
      </c>
      <c r="I613">
        <v>1</v>
      </c>
      <c r="J613">
        <v>1</v>
      </c>
      <c r="K613">
        <v>0.1</v>
      </c>
    </row>
    <row r="614" spans="1:11" x14ac:dyDescent="0.2">
      <c r="A614" t="s">
        <v>0</v>
      </c>
      <c r="B614">
        <v>81</v>
      </c>
      <c r="C614" t="s">
        <v>23</v>
      </c>
      <c r="D614" t="s">
        <v>33</v>
      </c>
      <c r="E614" t="s">
        <v>40</v>
      </c>
      <c r="F614">
        <v>0</v>
      </c>
      <c r="G614">
        <v>0</v>
      </c>
      <c r="H614">
        <v>1</v>
      </c>
      <c r="I614">
        <v>0</v>
      </c>
      <c r="J614">
        <v>1</v>
      </c>
      <c r="K614">
        <v>0.5</v>
      </c>
    </row>
    <row r="615" spans="1:11" x14ac:dyDescent="0.2">
      <c r="A615" t="s">
        <v>0</v>
      </c>
      <c r="B615">
        <v>81</v>
      </c>
      <c r="C615" t="s">
        <v>23</v>
      </c>
      <c r="D615" t="s">
        <v>2</v>
      </c>
      <c r="E615" t="s">
        <v>61</v>
      </c>
      <c r="F615">
        <v>2</v>
      </c>
      <c r="G615">
        <v>0</v>
      </c>
      <c r="H615">
        <v>1</v>
      </c>
      <c r="I615">
        <v>0</v>
      </c>
      <c r="J615">
        <v>3</v>
      </c>
      <c r="K615">
        <v>2.5</v>
      </c>
    </row>
    <row r="616" spans="1:11" x14ac:dyDescent="0.2">
      <c r="A616" t="s">
        <v>0</v>
      </c>
      <c r="B616">
        <v>82</v>
      </c>
      <c r="C616" t="s">
        <v>23</v>
      </c>
      <c r="D616" t="s">
        <v>2</v>
      </c>
      <c r="E616" t="s">
        <v>58</v>
      </c>
      <c r="F616">
        <v>0</v>
      </c>
      <c r="G616">
        <v>1</v>
      </c>
      <c r="H616">
        <v>0</v>
      </c>
      <c r="I616">
        <v>0</v>
      </c>
      <c r="J616">
        <v>1</v>
      </c>
      <c r="K616">
        <v>0.75</v>
      </c>
    </row>
    <row r="617" spans="1:11" x14ac:dyDescent="0.2">
      <c r="A617" t="s">
        <v>0</v>
      </c>
      <c r="B617">
        <v>82</v>
      </c>
      <c r="C617" t="s">
        <v>27</v>
      </c>
      <c r="D617" t="s">
        <v>2</v>
      </c>
      <c r="E617" t="s">
        <v>42</v>
      </c>
      <c r="F617">
        <v>0</v>
      </c>
      <c r="G617">
        <v>0</v>
      </c>
      <c r="H617">
        <v>0</v>
      </c>
      <c r="I617">
        <v>1</v>
      </c>
      <c r="J617">
        <v>1</v>
      </c>
      <c r="K617">
        <v>0.1</v>
      </c>
    </row>
    <row r="618" spans="1:11" x14ac:dyDescent="0.2">
      <c r="A618" t="s">
        <v>0</v>
      </c>
      <c r="B618">
        <v>83</v>
      </c>
      <c r="C618" t="s">
        <v>4</v>
      </c>
      <c r="D618" t="s">
        <v>33</v>
      </c>
      <c r="E618" t="s">
        <v>36</v>
      </c>
      <c r="F618">
        <v>0</v>
      </c>
      <c r="G618">
        <v>1</v>
      </c>
      <c r="H618">
        <v>0</v>
      </c>
      <c r="I618">
        <v>0</v>
      </c>
      <c r="J618">
        <v>1</v>
      </c>
      <c r="K618">
        <v>0.75</v>
      </c>
    </row>
    <row r="619" spans="1:11" x14ac:dyDescent="0.2">
      <c r="A619" t="s">
        <v>0</v>
      </c>
      <c r="B619">
        <v>83</v>
      </c>
      <c r="C619" t="s">
        <v>4</v>
      </c>
      <c r="D619" t="s">
        <v>2</v>
      </c>
      <c r="E619" t="s">
        <v>43</v>
      </c>
      <c r="F619">
        <v>0</v>
      </c>
      <c r="G619">
        <v>0</v>
      </c>
      <c r="H619">
        <v>1</v>
      </c>
      <c r="I619">
        <v>0</v>
      </c>
      <c r="J619">
        <v>1</v>
      </c>
      <c r="K619">
        <v>0.5</v>
      </c>
    </row>
    <row r="620" spans="1:11" x14ac:dyDescent="0.2">
      <c r="A620" t="s">
        <v>0</v>
      </c>
      <c r="B620">
        <v>83</v>
      </c>
      <c r="C620" t="s">
        <v>4</v>
      </c>
      <c r="D620" t="s">
        <v>2</v>
      </c>
      <c r="E620" t="s">
        <v>9</v>
      </c>
      <c r="F620">
        <v>0</v>
      </c>
      <c r="G620">
        <v>0</v>
      </c>
      <c r="H620">
        <v>2</v>
      </c>
      <c r="I620">
        <v>0</v>
      </c>
      <c r="J620">
        <v>2</v>
      </c>
      <c r="K620">
        <v>1</v>
      </c>
    </row>
    <row r="621" spans="1:11" x14ac:dyDescent="0.2">
      <c r="A621" t="s">
        <v>0</v>
      </c>
      <c r="B621">
        <v>83</v>
      </c>
      <c r="C621" t="s">
        <v>18</v>
      </c>
      <c r="D621" t="s">
        <v>2</v>
      </c>
      <c r="E621" t="s">
        <v>21</v>
      </c>
      <c r="F621">
        <v>0</v>
      </c>
      <c r="G621">
        <v>0</v>
      </c>
      <c r="H621">
        <v>0</v>
      </c>
      <c r="I621">
        <v>1</v>
      </c>
      <c r="J621">
        <v>1</v>
      </c>
      <c r="K621">
        <v>0.1</v>
      </c>
    </row>
    <row r="622" spans="1:11" x14ac:dyDescent="0.2">
      <c r="A622" t="s">
        <v>0</v>
      </c>
      <c r="B622">
        <v>83</v>
      </c>
      <c r="C622" t="s">
        <v>23</v>
      </c>
      <c r="D622" t="s">
        <v>33</v>
      </c>
      <c r="E622" t="s">
        <v>40</v>
      </c>
      <c r="F622">
        <v>0</v>
      </c>
      <c r="G622">
        <v>1</v>
      </c>
      <c r="H622">
        <v>0</v>
      </c>
      <c r="I622">
        <v>0</v>
      </c>
      <c r="J622">
        <v>1</v>
      </c>
      <c r="K622">
        <v>0.75</v>
      </c>
    </row>
    <row r="623" spans="1:11" x14ac:dyDescent="0.2">
      <c r="A623" t="s">
        <v>0</v>
      </c>
      <c r="B623">
        <v>83</v>
      </c>
      <c r="C623" t="s">
        <v>23</v>
      </c>
      <c r="D623" t="s">
        <v>2</v>
      </c>
      <c r="E623" t="s">
        <v>58</v>
      </c>
      <c r="F623">
        <v>0</v>
      </c>
      <c r="G623">
        <v>0</v>
      </c>
      <c r="H623">
        <v>1</v>
      </c>
      <c r="I623">
        <v>1</v>
      </c>
      <c r="J623">
        <v>2</v>
      </c>
      <c r="K623">
        <v>0.6</v>
      </c>
    </row>
    <row r="624" spans="1:11" x14ac:dyDescent="0.2">
      <c r="A624" t="s">
        <v>0</v>
      </c>
      <c r="B624">
        <v>84</v>
      </c>
      <c r="C624" t="s">
        <v>4</v>
      </c>
      <c r="D624" t="s">
        <v>6</v>
      </c>
      <c r="E624" t="s">
        <v>45</v>
      </c>
      <c r="F624">
        <v>0</v>
      </c>
      <c r="G624">
        <v>0</v>
      </c>
      <c r="H624">
        <v>1</v>
      </c>
      <c r="I624">
        <v>0</v>
      </c>
      <c r="J624">
        <v>1</v>
      </c>
      <c r="K624">
        <v>0.5</v>
      </c>
    </row>
    <row r="625" spans="1:11" x14ac:dyDescent="0.2">
      <c r="A625" t="s">
        <v>0</v>
      </c>
      <c r="B625">
        <v>84</v>
      </c>
      <c r="C625" t="s">
        <v>4</v>
      </c>
      <c r="D625" t="s">
        <v>2</v>
      </c>
      <c r="E625" t="s">
        <v>32</v>
      </c>
      <c r="F625">
        <v>0</v>
      </c>
      <c r="G625">
        <v>1</v>
      </c>
      <c r="H625">
        <v>0</v>
      </c>
      <c r="I625">
        <v>1</v>
      </c>
      <c r="J625">
        <v>2</v>
      </c>
      <c r="K625">
        <v>0.85</v>
      </c>
    </row>
    <row r="626" spans="1:11" x14ac:dyDescent="0.2">
      <c r="A626" t="s">
        <v>0</v>
      </c>
      <c r="B626">
        <v>84</v>
      </c>
      <c r="C626" t="s">
        <v>1</v>
      </c>
      <c r="D626" t="s">
        <v>33</v>
      </c>
      <c r="E626" t="s">
        <v>45</v>
      </c>
      <c r="F626">
        <v>0</v>
      </c>
      <c r="G626">
        <v>0</v>
      </c>
      <c r="H626">
        <v>1</v>
      </c>
      <c r="I626">
        <v>0</v>
      </c>
      <c r="J626">
        <v>1</v>
      </c>
      <c r="K626">
        <v>0.5</v>
      </c>
    </row>
    <row r="627" spans="1:11" x14ac:dyDescent="0.2">
      <c r="A627" t="s">
        <v>0</v>
      </c>
      <c r="B627">
        <v>84</v>
      </c>
      <c r="C627" t="s">
        <v>15</v>
      </c>
      <c r="D627" t="s">
        <v>2</v>
      </c>
      <c r="E627" t="s">
        <v>16</v>
      </c>
      <c r="F627">
        <v>0</v>
      </c>
      <c r="G627">
        <v>0</v>
      </c>
      <c r="H627">
        <v>0</v>
      </c>
      <c r="I627">
        <v>9</v>
      </c>
      <c r="J627">
        <v>9</v>
      </c>
      <c r="K627">
        <v>0.9</v>
      </c>
    </row>
    <row r="628" spans="1:11" x14ac:dyDescent="0.2">
      <c r="A628" t="s">
        <v>0</v>
      </c>
      <c r="B628">
        <v>84</v>
      </c>
      <c r="C628" t="s">
        <v>18</v>
      </c>
      <c r="D628" t="s">
        <v>6</v>
      </c>
      <c r="E628" t="s">
        <v>19</v>
      </c>
      <c r="F628">
        <v>0</v>
      </c>
      <c r="G628">
        <v>0</v>
      </c>
      <c r="H628">
        <v>4</v>
      </c>
      <c r="I628">
        <v>4</v>
      </c>
      <c r="J628">
        <v>8</v>
      </c>
      <c r="K628">
        <v>2.4</v>
      </c>
    </row>
    <row r="629" spans="1:11" x14ac:dyDescent="0.2">
      <c r="A629" t="s">
        <v>0</v>
      </c>
      <c r="B629">
        <v>84</v>
      </c>
      <c r="C629" t="s">
        <v>18</v>
      </c>
      <c r="D629" t="s">
        <v>2</v>
      </c>
      <c r="E629" t="s">
        <v>97</v>
      </c>
      <c r="F629">
        <v>0</v>
      </c>
      <c r="G629">
        <v>3</v>
      </c>
      <c r="H629">
        <v>2</v>
      </c>
      <c r="I629">
        <v>0</v>
      </c>
      <c r="J629">
        <v>5</v>
      </c>
      <c r="K629">
        <v>3.25</v>
      </c>
    </row>
    <row r="630" spans="1:11" x14ac:dyDescent="0.2">
      <c r="A630" t="s">
        <v>0</v>
      </c>
      <c r="B630">
        <v>84</v>
      </c>
      <c r="C630" t="s">
        <v>23</v>
      </c>
      <c r="D630" t="s">
        <v>33</v>
      </c>
      <c r="E630" t="s">
        <v>34</v>
      </c>
      <c r="F630">
        <v>0</v>
      </c>
      <c r="G630">
        <v>1</v>
      </c>
      <c r="H630">
        <v>0</v>
      </c>
      <c r="I630">
        <v>1</v>
      </c>
      <c r="J630">
        <v>2</v>
      </c>
      <c r="K630">
        <v>0.85</v>
      </c>
    </row>
    <row r="631" spans="1:11" x14ac:dyDescent="0.2">
      <c r="A631" t="s">
        <v>0</v>
      </c>
      <c r="B631">
        <v>84</v>
      </c>
      <c r="C631" t="s">
        <v>23</v>
      </c>
      <c r="D631" t="s">
        <v>2</v>
      </c>
      <c r="E631" t="s">
        <v>58</v>
      </c>
      <c r="F631">
        <v>0</v>
      </c>
      <c r="G631">
        <v>0</v>
      </c>
      <c r="H631">
        <v>2</v>
      </c>
      <c r="I631">
        <v>0</v>
      </c>
      <c r="J631">
        <v>2</v>
      </c>
      <c r="K631">
        <v>1.1000000000000001</v>
      </c>
    </row>
    <row r="632" spans="1:11" x14ac:dyDescent="0.2">
      <c r="A632" t="s">
        <v>0</v>
      </c>
      <c r="B632">
        <v>84</v>
      </c>
      <c r="C632" t="s">
        <v>23</v>
      </c>
      <c r="D632" t="s">
        <v>2</v>
      </c>
      <c r="E632" t="s">
        <v>35</v>
      </c>
      <c r="F632">
        <v>0</v>
      </c>
      <c r="G632">
        <v>0</v>
      </c>
      <c r="H632">
        <v>1</v>
      </c>
      <c r="I632">
        <v>0</v>
      </c>
      <c r="J632">
        <v>1</v>
      </c>
      <c r="K632">
        <v>0.5</v>
      </c>
    </row>
    <row r="633" spans="1:11" x14ac:dyDescent="0.2">
      <c r="A633" t="s">
        <v>0</v>
      </c>
      <c r="B633">
        <v>85</v>
      </c>
      <c r="C633" t="s">
        <v>4</v>
      </c>
      <c r="D633" t="s">
        <v>2</v>
      </c>
      <c r="E633" t="s">
        <v>48</v>
      </c>
      <c r="F633">
        <v>1</v>
      </c>
      <c r="G633">
        <v>0</v>
      </c>
      <c r="H633">
        <v>0</v>
      </c>
      <c r="I633">
        <v>0</v>
      </c>
      <c r="J633">
        <v>1</v>
      </c>
      <c r="K633">
        <v>1</v>
      </c>
    </row>
    <row r="634" spans="1:11" x14ac:dyDescent="0.2">
      <c r="A634" t="s">
        <v>0</v>
      </c>
      <c r="B634">
        <v>85</v>
      </c>
      <c r="C634" t="s">
        <v>4</v>
      </c>
      <c r="D634" t="s">
        <v>2</v>
      </c>
      <c r="E634" t="s">
        <v>32</v>
      </c>
      <c r="F634">
        <v>1</v>
      </c>
      <c r="G634">
        <v>0</v>
      </c>
      <c r="H634">
        <v>0</v>
      </c>
      <c r="I634">
        <v>0</v>
      </c>
      <c r="J634">
        <v>1</v>
      </c>
      <c r="K634">
        <v>1</v>
      </c>
    </row>
    <row r="635" spans="1:11" x14ac:dyDescent="0.2">
      <c r="A635" t="s">
        <v>0</v>
      </c>
      <c r="B635">
        <v>85</v>
      </c>
      <c r="C635" t="s">
        <v>1</v>
      </c>
      <c r="D635" t="s">
        <v>2</v>
      </c>
      <c r="E635" t="s">
        <v>48</v>
      </c>
      <c r="F635">
        <v>1</v>
      </c>
      <c r="G635">
        <v>0</v>
      </c>
      <c r="H635">
        <v>0</v>
      </c>
      <c r="I635">
        <v>0</v>
      </c>
      <c r="J635">
        <v>1</v>
      </c>
      <c r="K635">
        <v>1</v>
      </c>
    </row>
    <row r="636" spans="1:11" x14ac:dyDescent="0.2">
      <c r="A636" t="s">
        <v>0</v>
      </c>
      <c r="B636">
        <v>85</v>
      </c>
      <c r="C636" t="s">
        <v>15</v>
      </c>
      <c r="D636" t="s">
        <v>2</v>
      </c>
      <c r="E636" t="s">
        <v>16</v>
      </c>
      <c r="F636">
        <v>0</v>
      </c>
      <c r="G636">
        <v>0</v>
      </c>
      <c r="H636">
        <v>0</v>
      </c>
      <c r="I636">
        <v>3</v>
      </c>
      <c r="J636">
        <v>3</v>
      </c>
      <c r="K636">
        <v>0.3</v>
      </c>
    </row>
    <row r="637" spans="1:11" x14ac:dyDescent="0.2">
      <c r="A637" t="s">
        <v>0</v>
      </c>
      <c r="B637">
        <v>85</v>
      </c>
      <c r="C637" t="s">
        <v>15</v>
      </c>
      <c r="D637" t="s">
        <v>2</v>
      </c>
      <c r="E637" t="s">
        <v>48</v>
      </c>
      <c r="F637">
        <v>1</v>
      </c>
      <c r="G637">
        <v>0</v>
      </c>
      <c r="H637">
        <v>0</v>
      </c>
      <c r="I637">
        <v>0</v>
      </c>
      <c r="J637">
        <v>1</v>
      </c>
      <c r="K637">
        <v>1</v>
      </c>
    </row>
    <row r="638" spans="1:11" x14ac:dyDescent="0.2">
      <c r="A638" t="s">
        <v>0</v>
      </c>
      <c r="B638">
        <v>85</v>
      </c>
      <c r="C638" t="s">
        <v>18</v>
      </c>
      <c r="D638" t="s">
        <v>6</v>
      </c>
      <c r="E638" t="s">
        <v>19</v>
      </c>
      <c r="F638">
        <v>0</v>
      </c>
      <c r="G638">
        <v>0</v>
      </c>
      <c r="H638">
        <v>1</v>
      </c>
      <c r="I638">
        <v>0</v>
      </c>
      <c r="J638">
        <v>1</v>
      </c>
      <c r="K638">
        <v>0.5</v>
      </c>
    </row>
    <row r="639" spans="1:11" x14ac:dyDescent="0.2">
      <c r="A639" t="s">
        <v>0</v>
      </c>
      <c r="B639">
        <v>85</v>
      </c>
      <c r="C639" t="s">
        <v>18</v>
      </c>
      <c r="D639" t="s">
        <v>6</v>
      </c>
      <c r="E639" t="s">
        <v>39</v>
      </c>
      <c r="F639">
        <v>0</v>
      </c>
      <c r="G639">
        <v>0</v>
      </c>
      <c r="H639">
        <v>3</v>
      </c>
      <c r="I639">
        <v>3</v>
      </c>
      <c r="J639">
        <v>6</v>
      </c>
      <c r="K639">
        <v>1.8</v>
      </c>
    </row>
    <row r="640" spans="1:11" x14ac:dyDescent="0.2">
      <c r="A640" t="s">
        <v>0</v>
      </c>
      <c r="B640">
        <v>85</v>
      </c>
      <c r="C640" t="s">
        <v>23</v>
      </c>
      <c r="D640" t="s">
        <v>33</v>
      </c>
      <c r="E640" t="s">
        <v>34</v>
      </c>
      <c r="F640">
        <v>0</v>
      </c>
      <c r="G640">
        <v>1</v>
      </c>
      <c r="H640">
        <v>0</v>
      </c>
      <c r="I640">
        <v>0</v>
      </c>
      <c r="J640">
        <v>1</v>
      </c>
      <c r="K640">
        <v>0.75</v>
      </c>
    </row>
    <row r="641" spans="1:11" x14ac:dyDescent="0.2">
      <c r="A641" t="s">
        <v>0</v>
      </c>
      <c r="B641">
        <v>85</v>
      </c>
      <c r="C641" t="s">
        <v>23</v>
      </c>
      <c r="D641" t="s">
        <v>2</v>
      </c>
      <c r="E641" t="s">
        <v>48</v>
      </c>
      <c r="F641">
        <v>1</v>
      </c>
      <c r="G641">
        <v>0</v>
      </c>
      <c r="H641">
        <v>0</v>
      </c>
      <c r="I641">
        <v>0</v>
      </c>
      <c r="J641">
        <v>1</v>
      </c>
      <c r="K641">
        <v>1</v>
      </c>
    </row>
    <row r="642" spans="1:11" x14ac:dyDescent="0.2">
      <c r="A642" t="s">
        <v>0</v>
      </c>
      <c r="B642">
        <v>85</v>
      </c>
      <c r="C642" t="s">
        <v>23</v>
      </c>
      <c r="D642" t="s">
        <v>2</v>
      </c>
      <c r="E642" t="s">
        <v>58</v>
      </c>
      <c r="F642">
        <v>0</v>
      </c>
      <c r="G642">
        <v>2</v>
      </c>
      <c r="H642">
        <v>2</v>
      </c>
      <c r="I642">
        <v>0</v>
      </c>
      <c r="J642">
        <v>4</v>
      </c>
      <c r="K642">
        <v>2.6</v>
      </c>
    </row>
    <row r="643" spans="1:11" x14ac:dyDescent="0.2">
      <c r="A643" t="s">
        <v>0</v>
      </c>
      <c r="B643">
        <v>85</v>
      </c>
      <c r="C643" t="s">
        <v>27</v>
      </c>
      <c r="D643" t="s">
        <v>2</v>
      </c>
      <c r="E643" t="s">
        <v>42</v>
      </c>
      <c r="F643">
        <v>0</v>
      </c>
      <c r="G643">
        <v>0</v>
      </c>
      <c r="H643">
        <v>1</v>
      </c>
      <c r="I643">
        <v>0</v>
      </c>
      <c r="J643">
        <v>1</v>
      </c>
      <c r="K643">
        <v>0.5</v>
      </c>
    </row>
    <row r="644" spans="1:11" x14ac:dyDescent="0.2">
      <c r="A644" t="s">
        <v>0</v>
      </c>
      <c r="B644">
        <v>86</v>
      </c>
      <c r="C644" t="s">
        <v>18</v>
      </c>
      <c r="D644" t="s">
        <v>6</v>
      </c>
      <c r="E644" t="s">
        <v>39</v>
      </c>
      <c r="F644">
        <v>0</v>
      </c>
      <c r="G644">
        <v>0</v>
      </c>
      <c r="H644">
        <v>0</v>
      </c>
      <c r="I644">
        <v>1</v>
      </c>
      <c r="J644">
        <v>1</v>
      </c>
      <c r="K644">
        <v>0.1</v>
      </c>
    </row>
    <row r="645" spans="1:11" x14ac:dyDescent="0.2">
      <c r="A645" t="s">
        <v>0</v>
      </c>
      <c r="B645">
        <v>87</v>
      </c>
      <c r="C645" t="s">
        <v>4</v>
      </c>
      <c r="D645" t="s">
        <v>2</v>
      </c>
      <c r="E645" t="s">
        <v>32</v>
      </c>
      <c r="F645">
        <v>1</v>
      </c>
      <c r="G645">
        <v>0</v>
      </c>
      <c r="H645">
        <v>0</v>
      </c>
      <c r="I645">
        <v>0</v>
      </c>
      <c r="J645">
        <v>1</v>
      </c>
      <c r="K645">
        <v>1</v>
      </c>
    </row>
    <row r="646" spans="1:11" x14ac:dyDescent="0.2">
      <c r="A646" t="s">
        <v>0</v>
      </c>
      <c r="B646">
        <v>87</v>
      </c>
      <c r="C646" t="s">
        <v>18</v>
      </c>
      <c r="D646" t="s">
        <v>2</v>
      </c>
      <c r="E646" t="s">
        <v>97</v>
      </c>
      <c r="F646">
        <v>0</v>
      </c>
      <c r="G646">
        <v>0</v>
      </c>
      <c r="H646">
        <v>1</v>
      </c>
      <c r="I646">
        <v>0</v>
      </c>
      <c r="J646">
        <v>1</v>
      </c>
      <c r="K646">
        <v>0.5</v>
      </c>
    </row>
    <row r="647" spans="1:11" x14ac:dyDescent="0.2">
      <c r="A647" t="s">
        <v>0</v>
      </c>
      <c r="B647">
        <v>87</v>
      </c>
      <c r="C647" t="s">
        <v>23</v>
      </c>
      <c r="D647" t="s">
        <v>33</v>
      </c>
      <c r="E647" t="s">
        <v>34</v>
      </c>
      <c r="F647">
        <v>0</v>
      </c>
      <c r="G647">
        <v>1</v>
      </c>
      <c r="H647">
        <v>0</v>
      </c>
      <c r="I647">
        <v>0</v>
      </c>
      <c r="J647">
        <v>1</v>
      </c>
      <c r="K647">
        <v>0.75</v>
      </c>
    </row>
    <row r="648" spans="1:11" x14ac:dyDescent="0.2">
      <c r="A648" t="s">
        <v>0</v>
      </c>
      <c r="B648">
        <v>87</v>
      </c>
      <c r="C648" t="s">
        <v>23</v>
      </c>
      <c r="D648" t="s">
        <v>33</v>
      </c>
      <c r="E648" t="s">
        <v>40</v>
      </c>
      <c r="F648">
        <v>0</v>
      </c>
      <c r="G648">
        <v>0</v>
      </c>
      <c r="H648">
        <v>1</v>
      </c>
      <c r="I648">
        <v>0</v>
      </c>
      <c r="J648">
        <v>1</v>
      </c>
      <c r="K648">
        <v>0.5</v>
      </c>
    </row>
    <row r="649" spans="1:11" x14ac:dyDescent="0.2">
      <c r="A649" t="s">
        <v>0</v>
      </c>
      <c r="B649">
        <v>88</v>
      </c>
      <c r="C649" t="s">
        <v>4</v>
      </c>
      <c r="D649" t="s">
        <v>6</v>
      </c>
      <c r="E649" t="s">
        <v>29</v>
      </c>
      <c r="F649">
        <v>0</v>
      </c>
      <c r="G649">
        <v>1</v>
      </c>
      <c r="H649">
        <v>0</v>
      </c>
      <c r="I649">
        <v>3</v>
      </c>
      <c r="J649">
        <v>4</v>
      </c>
      <c r="K649">
        <v>1.05</v>
      </c>
    </row>
    <row r="650" spans="1:11" x14ac:dyDescent="0.2">
      <c r="A650" t="s">
        <v>0</v>
      </c>
      <c r="B650">
        <v>88</v>
      </c>
      <c r="C650" t="s">
        <v>4</v>
      </c>
      <c r="D650" t="s">
        <v>6</v>
      </c>
      <c r="E650" t="s">
        <v>45</v>
      </c>
      <c r="F650">
        <v>0</v>
      </c>
      <c r="G650">
        <v>2</v>
      </c>
      <c r="H650">
        <v>0</v>
      </c>
      <c r="I650">
        <v>0</v>
      </c>
      <c r="J650">
        <v>2</v>
      </c>
      <c r="K650">
        <v>1.5</v>
      </c>
    </row>
    <row r="651" spans="1:11" x14ac:dyDescent="0.2">
      <c r="A651" t="s">
        <v>0</v>
      </c>
      <c r="B651">
        <v>88</v>
      </c>
      <c r="C651" t="s">
        <v>4</v>
      </c>
      <c r="D651" t="s">
        <v>2</v>
      </c>
      <c r="E651" t="s">
        <v>7</v>
      </c>
      <c r="F651">
        <v>0</v>
      </c>
      <c r="G651">
        <v>3</v>
      </c>
      <c r="H651">
        <v>0</v>
      </c>
      <c r="I651">
        <v>0</v>
      </c>
      <c r="J651">
        <v>3</v>
      </c>
      <c r="K651">
        <v>2.25</v>
      </c>
    </row>
    <row r="652" spans="1:11" x14ac:dyDescent="0.2">
      <c r="A652" t="s">
        <v>0</v>
      </c>
      <c r="B652">
        <v>88</v>
      </c>
      <c r="C652" t="s">
        <v>4</v>
      </c>
      <c r="D652" t="s">
        <v>6</v>
      </c>
      <c r="E652" t="s">
        <v>10</v>
      </c>
      <c r="F652">
        <v>0</v>
      </c>
      <c r="G652">
        <v>0</v>
      </c>
      <c r="H652">
        <v>1</v>
      </c>
      <c r="I652">
        <v>0</v>
      </c>
      <c r="J652">
        <v>1</v>
      </c>
      <c r="K652">
        <v>0.5</v>
      </c>
    </row>
    <row r="653" spans="1:11" x14ac:dyDescent="0.2">
      <c r="A653" t="s">
        <v>0</v>
      </c>
      <c r="B653">
        <v>88</v>
      </c>
      <c r="C653" t="s">
        <v>1</v>
      </c>
      <c r="D653" t="s">
        <v>33</v>
      </c>
      <c r="E653" t="s">
        <v>45</v>
      </c>
      <c r="F653">
        <v>0</v>
      </c>
      <c r="G653">
        <v>2</v>
      </c>
      <c r="H653">
        <v>0</v>
      </c>
      <c r="I653">
        <v>0</v>
      </c>
      <c r="J653">
        <v>2</v>
      </c>
      <c r="K653">
        <v>1.5</v>
      </c>
    </row>
    <row r="654" spans="1:11" x14ac:dyDescent="0.2">
      <c r="A654" t="s">
        <v>0</v>
      </c>
      <c r="B654">
        <v>88</v>
      </c>
      <c r="C654" t="s">
        <v>18</v>
      </c>
      <c r="D654" t="s">
        <v>2</v>
      </c>
      <c r="E654" t="s">
        <v>54</v>
      </c>
      <c r="F654">
        <v>0</v>
      </c>
      <c r="G654">
        <v>0</v>
      </c>
      <c r="H654">
        <v>0</v>
      </c>
      <c r="I654">
        <v>1</v>
      </c>
      <c r="J654">
        <v>1</v>
      </c>
      <c r="K654">
        <v>0.1</v>
      </c>
    </row>
    <row r="655" spans="1:11" x14ac:dyDescent="0.2">
      <c r="A655" t="s">
        <v>0</v>
      </c>
      <c r="B655">
        <v>88</v>
      </c>
      <c r="C655" t="s">
        <v>23</v>
      </c>
      <c r="D655" t="s">
        <v>2</v>
      </c>
      <c r="E655" t="s">
        <v>10</v>
      </c>
      <c r="F655">
        <v>0</v>
      </c>
      <c r="G655">
        <v>0</v>
      </c>
      <c r="H655">
        <v>1</v>
      </c>
      <c r="I655">
        <v>0</v>
      </c>
      <c r="J655">
        <v>1</v>
      </c>
      <c r="K655">
        <v>0.5</v>
      </c>
    </row>
    <row r="656" spans="1:11" x14ac:dyDescent="0.2">
      <c r="A656" t="s">
        <v>0</v>
      </c>
      <c r="B656">
        <v>88</v>
      </c>
      <c r="C656" t="s">
        <v>23</v>
      </c>
      <c r="D656" t="s">
        <v>6</v>
      </c>
      <c r="E656" t="s">
        <v>25</v>
      </c>
      <c r="F656">
        <v>0</v>
      </c>
      <c r="G656">
        <v>0</v>
      </c>
      <c r="H656">
        <v>1</v>
      </c>
      <c r="I656">
        <v>0</v>
      </c>
      <c r="J656">
        <v>1</v>
      </c>
      <c r="K656">
        <v>0.5</v>
      </c>
    </row>
    <row r="657" spans="1:11" x14ac:dyDescent="0.2">
      <c r="A657" t="s">
        <v>0</v>
      </c>
      <c r="B657">
        <v>88</v>
      </c>
      <c r="C657" t="s">
        <v>27</v>
      </c>
      <c r="D657" t="s">
        <v>2</v>
      </c>
      <c r="E657" t="s">
        <v>42</v>
      </c>
      <c r="F657">
        <v>0</v>
      </c>
      <c r="G657">
        <v>0</v>
      </c>
      <c r="H657">
        <v>1</v>
      </c>
      <c r="I657">
        <v>0</v>
      </c>
      <c r="J657">
        <v>1</v>
      </c>
      <c r="K657">
        <v>0.5</v>
      </c>
    </row>
    <row r="658" spans="1:11" x14ac:dyDescent="0.2">
      <c r="A658" t="s">
        <v>0</v>
      </c>
      <c r="B658">
        <v>89</v>
      </c>
      <c r="C658" t="s">
        <v>4</v>
      </c>
      <c r="D658" t="s">
        <v>6</v>
      </c>
      <c r="E658" t="s">
        <v>29</v>
      </c>
      <c r="F658">
        <v>0</v>
      </c>
      <c r="G658">
        <v>0</v>
      </c>
      <c r="H658">
        <v>1</v>
      </c>
      <c r="I658">
        <v>0</v>
      </c>
      <c r="J658">
        <v>1</v>
      </c>
      <c r="K658">
        <v>0.5</v>
      </c>
    </row>
    <row r="659" spans="1:11" x14ac:dyDescent="0.2">
      <c r="A659" t="s">
        <v>0</v>
      </c>
      <c r="B659">
        <v>89</v>
      </c>
      <c r="C659" t="s">
        <v>4</v>
      </c>
      <c r="D659" t="s">
        <v>2</v>
      </c>
      <c r="E659" t="s">
        <v>5</v>
      </c>
      <c r="F659">
        <v>0</v>
      </c>
      <c r="G659">
        <v>0</v>
      </c>
      <c r="H659">
        <v>0</v>
      </c>
      <c r="I659">
        <v>2</v>
      </c>
      <c r="J659">
        <v>2</v>
      </c>
      <c r="K659">
        <v>0.2</v>
      </c>
    </row>
    <row r="660" spans="1:11" x14ac:dyDescent="0.2">
      <c r="A660" t="s">
        <v>0</v>
      </c>
      <c r="B660">
        <v>89</v>
      </c>
      <c r="C660" t="s">
        <v>4</v>
      </c>
      <c r="D660" t="s">
        <v>6</v>
      </c>
      <c r="E660" t="s">
        <v>5</v>
      </c>
      <c r="F660">
        <v>0</v>
      </c>
      <c r="G660">
        <v>0</v>
      </c>
      <c r="H660">
        <v>0</v>
      </c>
      <c r="I660">
        <v>2</v>
      </c>
      <c r="J660">
        <v>2</v>
      </c>
      <c r="K660">
        <v>0.2</v>
      </c>
    </row>
    <row r="661" spans="1:11" x14ac:dyDescent="0.2">
      <c r="A661" t="s">
        <v>0</v>
      </c>
      <c r="B661">
        <v>89</v>
      </c>
      <c r="C661" t="s">
        <v>4</v>
      </c>
      <c r="D661" t="s">
        <v>2</v>
      </c>
      <c r="E661" t="s">
        <v>48</v>
      </c>
      <c r="F661">
        <v>0</v>
      </c>
      <c r="G661">
        <v>1</v>
      </c>
      <c r="H661">
        <v>0</v>
      </c>
      <c r="I661">
        <v>0</v>
      </c>
      <c r="J661">
        <v>1</v>
      </c>
      <c r="K661">
        <v>0.75</v>
      </c>
    </row>
    <row r="662" spans="1:11" x14ac:dyDescent="0.2">
      <c r="A662" t="s">
        <v>0</v>
      </c>
      <c r="B662">
        <v>89</v>
      </c>
      <c r="C662" t="s">
        <v>4</v>
      </c>
      <c r="D662" t="s">
        <v>2</v>
      </c>
      <c r="E662" t="s">
        <v>32</v>
      </c>
      <c r="F662">
        <v>1</v>
      </c>
      <c r="G662">
        <v>0</v>
      </c>
      <c r="H662">
        <v>0</v>
      </c>
      <c r="I662">
        <v>1</v>
      </c>
      <c r="J662">
        <v>2</v>
      </c>
      <c r="K662">
        <v>1.1000000000000001</v>
      </c>
    </row>
    <row r="663" spans="1:11" x14ac:dyDescent="0.2">
      <c r="A663" t="s">
        <v>0</v>
      </c>
      <c r="B663">
        <v>89</v>
      </c>
      <c r="C663" t="s">
        <v>11</v>
      </c>
      <c r="D663" t="s">
        <v>2</v>
      </c>
      <c r="E663" t="s">
        <v>66</v>
      </c>
      <c r="F663">
        <v>0</v>
      </c>
      <c r="G663">
        <v>0</v>
      </c>
      <c r="H663">
        <v>1</v>
      </c>
      <c r="I663">
        <v>0</v>
      </c>
      <c r="J663">
        <v>1</v>
      </c>
      <c r="K663">
        <v>0.5</v>
      </c>
    </row>
    <row r="664" spans="1:11" x14ac:dyDescent="0.2">
      <c r="A664" t="s">
        <v>0</v>
      </c>
      <c r="B664">
        <v>89</v>
      </c>
      <c r="C664" t="s">
        <v>1</v>
      </c>
      <c r="D664" t="s">
        <v>2</v>
      </c>
      <c r="E664" t="s">
        <v>48</v>
      </c>
      <c r="F664">
        <v>0</v>
      </c>
      <c r="G664">
        <v>1</v>
      </c>
      <c r="H664">
        <v>0</v>
      </c>
      <c r="I664">
        <v>0</v>
      </c>
      <c r="J664">
        <v>1</v>
      </c>
      <c r="K664">
        <v>0.75</v>
      </c>
    </row>
    <row r="665" spans="1:11" x14ac:dyDescent="0.2">
      <c r="A665" t="s">
        <v>0</v>
      </c>
      <c r="B665">
        <v>89</v>
      </c>
      <c r="C665" t="s">
        <v>15</v>
      </c>
      <c r="D665" t="s">
        <v>2</v>
      </c>
      <c r="E665" t="s">
        <v>66</v>
      </c>
      <c r="F665">
        <v>0</v>
      </c>
      <c r="G665">
        <v>0</v>
      </c>
      <c r="H665">
        <v>1</v>
      </c>
      <c r="I665">
        <v>0</v>
      </c>
      <c r="J665">
        <v>1</v>
      </c>
      <c r="K665">
        <v>0.5</v>
      </c>
    </row>
    <row r="666" spans="1:11" x14ac:dyDescent="0.2">
      <c r="A666" t="s">
        <v>0</v>
      </c>
      <c r="B666">
        <v>89</v>
      </c>
      <c r="C666" t="s">
        <v>15</v>
      </c>
      <c r="D666" t="s">
        <v>2</v>
      </c>
      <c r="E666" t="s">
        <v>46</v>
      </c>
      <c r="F666">
        <v>0</v>
      </c>
      <c r="G666">
        <v>0</v>
      </c>
      <c r="H666">
        <v>0</v>
      </c>
      <c r="I666">
        <v>1</v>
      </c>
      <c r="J666">
        <v>1</v>
      </c>
      <c r="K666">
        <v>0.1</v>
      </c>
    </row>
    <row r="667" spans="1:11" x14ac:dyDescent="0.2">
      <c r="A667" t="s">
        <v>0</v>
      </c>
      <c r="B667">
        <v>89</v>
      </c>
      <c r="C667" t="s">
        <v>15</v>
      </c>
      <c r="D667" t="s">
        <v>2</v>
      </c>
      <c r="E667" t="s">
        <v>48</v>
      </c>
      <c r="F667">
        <v>0</v>
      </c>
      <c r="G667">
        <v>1</v>
      </c>
      <c r="H667">
        <v>0</v>
      </c>
      <c r="I667">
        <v>0</v>
      </c>
      <c r="J667">
        <v>1</v>
      </c>
      <c r="K667">
        <v>0.75</v>
      </c>
    </row>
    <row r="668" spans="1:11" x14ac:dyDescent="0.2">
      <c r="A668" t="s">
        <v>0</v>
      </c>
      <c r="B668">
        <v>89</v>
      </c>
      <c r="C668" t="s">
        <v>18</v>
      </c>
      <c r="D668" t="s">
        <v>2</v>
      </c>
      <c r="E668" t="s">
        <v>79</v>
      </c>
      <c r="F668">
        <v>1</v>
      </c>
      <c r="G668">
        <v>0</v>
      </c>
      <c r="H668">
        <v>0</v>
      </c>
      <c r="I668">
        <v>0</v>
      </c>
      <c r="J668">
        <v>1</v>
      </c>
      <c r="K668">
        <v>1</v>
      </c>
    </row>
    <row r="669" spans="1:11" x14ac:dyDescent="0.2">
      <c r="A669" t="s">
        <v>0</v>
      </c>
      <c r="B669">
        <v>89</v>
      </c>
      <c r="C669" t="s">
        <v>18</v>
      </c>
      <c r="D669" t="s">
        <v>6</v>
      </c>
      <c r="E669" t="s">
        <v>79</v>
      </c>
      <c r="F669">
        <v>1</v>
      </c>
      <c r="G669">
        <v>0</v>
      </c>
      <c r="H669">
        <v>0</v>
      </c>
      <c r="I669">
        <v>0</v>
      </c>
      <c r="J669">
        <v>1</v>
      </c>
      <c r="K669">
        <v>1</v>
      </c>
    </row>
    <row r="670" spans="1:11" x14ac:dyDescent="0.2">
      <c r="A670" t="s">
        <v>0</v>
      </c>
      <c r="B670">
        <v>89</v>
      </c>
      <c r="C670" t="s">
        <v>18</v>
      </c>
      <c r="D670" t="s">
        <v>2</v>
      </c>
      <c r="E670" t="s">
        <v>21</v>
      </c>
      <c r="F670">
        <v>0</v>
      </c>
      <c r="G670">
        <v>0</v>
      </c>
      <c r="H670">
        <v>0</v>
      </c>
      <c r="I670">
        <v>1</v>
      </c>
      <c r="J670">
        <v>1</v>
      </c>
      <c r="K670">
        <v>0.1</v>
      </c>
    </row>
    <row r="671" spans="1:11" x14ac:dyDescent="0.2">
      <c r="A671" t="s">
        <v>0</v>
      </c>
      <c r="B671">
        <v>89</v>
      </c>
      <c r="C671" t="s">
        <v>23</v>
      </c>
      <c r="D671" t="s">
        <v>33</v>
      </c>
      <c r="E671" t="s">
        <v>34</v>
      </c>
      <c r="F671">
        <v>0</v>
      </c>
      <c r="G671">
        <v>1</v>
      </c>
      <c r="H671">
        <v>0</v>
      </c>
      <c r="I671">
        <v>1</v>
      </c>
      <c r="J671">
        <v>2</v>
      </c>
      <c r="K671">
        <v>0.85</v>
      </c>
    </row>
    <row r="672" spans="1:11" x14ac:dyDescent="0.2">
      <c r="A672" t="s">
        <v>0</v>
      </c>
      <c r="B672">
        <v>89</v>
      </c>
      <c r="C672" t="s">
        <v>23</v>
      </c>
      <c r="D672" t="s">
        <v>2</v>
      </c>
      <c r="E672" t="s">
        <v>48</v>
      </c>
      <c r="F672">
        <v>0</v>
      </c>
      <c r="G672">
        <v>1</v>
      </c>
      <c r="H672">
        <v>0</v>
      </c>
      <c r="I672">
        <v>0</v>
      </c>
      <c r="J672">
        <v>1</v>
      </c>
      <c r="K672">
        <v>0.75</v>
      </c>
    </row>
    <row r="673" spans="1:11" x14ac:dyDescent="0.2">
      <c r="A673" t="s">
        <v>0</v>
      </c>
      <c r="B673">
        <v>89</v>
      </c>
      <c r="C673" t="s">
        <v>27</v>
      </c>
      <c r="D673" t="s">
        <v>2</v>
      </c>
      <c r="E673" t="s">
        <v>5</v>
      </c>
      <c r="F673">
        <v>0</v>
      </c>
      <c r="G673">
        <v>0</v>
      </c>
      <c r="H673">
        <v>0</v>
      </c>
      <c r="I673">
        <v>2</v>
      </c>
      <c r="J673">
        <v>2</v>
      </c>
      <c r="K673">
        <v>0.2</v>
      </c>
    </row>
    <row r="674" spans="1:11" x14ac:dyDescent="0.2">
      <c r="A674" t="s">
        <v>0</v>
      </c>
      <c r="B674">
        <v>89</v>
      </c>
      <c r="C674" t="s">
        <v>27</v>
      </c>
      <c r="D674" t="s">
        <v>6</v>
      </c>
      <c r="E674" t="s">
        <v>55</v>
      </c>
      <c r="F674">
        <v>0</v>
      </c>
      <c r="G674">
        <v>0</v>
      </c>
      <c r="H674">
        <v>1</v>
      </c>
      <c r="I674">
        <v>0</v>
      </c>
      <c r="J674">
        <v>1</v>
      </c>
      <c r="K674">
        <v>0.5</v>
      </c>
    </row>
    <row r="675" spans="1:11" x14ac:dyDescent="0.2">
      <c r="A675" t="s">
        <v>0</v>
      </c>
      <c r="B675">
        <v>90</v>
      </c>
      <c r="C675" t="s">
        <v>4</v>
      </c>
      <c r="D675" t="s">
        <v>6</v>
      </c>
      <c r="E675" t="s">
        <v>29</v>
      </c>
      <c r="F675">
        <v>0</v>
      </c>
      <c r="G675">
        <v>0</v>
      </c>
      <c r="H675">
        <v>1</v>
      </c>
      <c r="I675">
        <v>0</v>
      </c>
      <c r="J675">
        <v>1</v>
      </c>
      <c r="K675">
        <v>0.5</v>
      </c>
    </row>
    <row r="676" spans="1:11" x14ac:dyDescent="0.2">
      <c r="A676" t="s">
        <v>0</v>
      </c>
      <c r="B676">
        <v>90</v>
      </c>
      <c r="C676" t="s">
        <v>4</v>
      </c>
      <c r="D676" t="s">
        <v>6</v>
      </c>
      <c r="E676" t="s">
        <v>45</v>
      </c>
      <c r="F676">
        <v>0</v>
      </c>
      <c r="G676">
        <v>0</v>
      </c>
      <c r="H676">
        <v>1</v>
      </c>
      <c r="I676">
        <v>0</v>
      </c>
      <c r="J676">
        <v>1</v>
      </c>
      <c r="K676">
        <v>0.5</v>
      </c>
    </row>
    <row r="677" spans="1:11" x14ac:dyDescent="0.2">
      <c r="A677" t="s">
        <v>0</v>
      </c>
      <c r="B677">
        <v>90</v>
      </c>
      <c r="C677" t="s">
        <v>4</v>
      </c>
      <c r="D677" t="s">
        <v>2</v>
      </c>
      <c r="E677" t="s">
        <v>7</v>
      </c>
      <c r="F677">
        <v>0</v>
      </c>
      <c r="G677">
        <v>1</v>
      </c>
      <c r="H677">
        <v>0</v>
      </c>
      <c r="I677">
        <v>0</v>
      </c>
      <c r="J677">
        <v>1</v>
      </c>
      <c r="K677">
        <v>0.75</v>
      </c>
    </row>
    <row r="678" spans="1:11" x14ac:dyDescent="0.2">
      <c r="A678" t="s">
        <v>0</v>
      </c>
      <c r="B678">
        <v>90</v>
      </c>
      <c r="C678" t="s">
        <v>4</v>
      </c>
      <c r="D678" t="s">
        <v>2</v>
      </c>
      <c r="E678" t="s">
        <v>32</v>
      </c>
      <c r="F678">
        <v>0</v>
      </c>
      <c r="G678">
        <v>1</v>
      </c>
      <c r="H678">
        <v>0</v>
      </c>
      <c r="I678">
        <v>0</v>
      </c>
      <c r="J678">
        <v>1</v>
      </c>
      <c r="K678">
        <v>0.75</v>
      </c>
    </row>
    <row r="679" spans="1:11" x14ac:dyDescent="0.2">
      <c r="A679" t="s">
        <v>0</v>
      </c>
      <c r="B679">
        <v>90</v>
      </c>
      <c r="C679" t="s">
        <v>1</v>
      </c>
      <c r="D679" t="s">
        <v>33</v>
      </c>
      <c r="E679" t="s">
        <v>45</v>
      </c>
      <c r="F679">
        <v>0</v>
      </c>
      <c r="G679">
        <v>0</v>
      </c>
      <c r="H679">
        <v>1</v>
      </c>
      <c r="I679">
        <v>0</v>
      </c>
      <c r="J679">
        <v>1</v>
      </c>
      <c r="K679">
        <v>0.5</v>
      </c>
    </row>
    <row r="680" spans="1:11" x14ac:dyDescent="0.2">
      <c r="A680" t="s">
        <v>0</v>
      </c>
      <c r="B680">
        <v>90</v>
      </c>
      <c r="C680" t="s">
        <v>15</v>
      </c>
      <c r="D680" t="s">
        <v>2</v>
      </c>
      <c r="E680" t="s">
        <v>16</v>
      </c>
      <c r="F680">
        <v>0</v>
      </c>
      <c r="G680">
        <v>0</v>
      </c>
      <c r="H680">
        <v>0</v>
      </c>
      <c r="I680">
        <v>1</v>
      </c>
      <c r="J680">
        <v>1</v>
      </c>
      <c r="K680">
        <v>0.1</v>
      </c>
    </row>
    <row r="681" spans="1:11" x14ac:dyDescent="0.2">
      <c r="A681" t="s">
        <v>0</v>
      </c>
      <c r="B681">
        <v>90</v>
      </c>
      <c r="C681" t="s">
        <v>18</v>
      </c>
      <c r="D681" t="s">
        <v>6</v>
      </c>
      <c r="E681" t="s">
        <v>19</v>
      </c>
      <c r="F681">
        <v>0</v>
      </c>
      <c r="G681">
        <v>0</v>
      </c>
      <c r="H681">
        <v>1</v>
      </c>
      <c r="I681">
        <v>0</v>
      </c>
      <c r="J681">
        <v>1</v>
      </c>
      <c r="K681">
        <v>0.5</v>
      </c>
    </row>
    <row r="682" spans="1:11" x14ac:dyDescent="0.2">
      <c r="A682" t="s">
        <v>0</v>
      </c>
      <c r="B682">
        <v>90</v>
      </c>
      <c r="C682" t="s">
        <v>18</v>
      </c>
      <c r="D682" t="s">
        <v>2</v>
      </c>
      <c r="E682" t="s">
        <v>21</v>
      </c>
      <c r="F682">
        <v>0</v>
      </c>
      <c r="G682">
        <v>0</v>
      </c>
      <c r="H682">
        <v>0</v>
      </c>
      <c r="I682">
        <v>2</v>
      </c>
      <c r="J682">
        <v>2</v>
      </c>
      <c r="K682">
        <v>0.2</v>
      </c>
    </row>
    <row r="683" spans="1:11" x14ac:dyDescent="0.2">
      <c r="A683" t="s">
        <v>0</v>
      </c>
      <c r="B683">
        <v>90</v>
      </c>
      <c r="C683" t="s">
        <v>23</v>
      </c>
      <c r="D683" t="s">
        <v>33</v>
      </c>
      <c r="E683" t="s">
        <v>34</v>
      </c>
      <c r="F683">
        <v>0</v>
      </c>
      <c r="G683">
        <v>1</v>
      </c>
      <c r="H683">
        <v>0</v>
      </c>
      <c r="I683">
        <v>0</v>
      </c>
      <c r="J683">
        <v>1</v>
      </c>
      <c r="K683">
        <v>0.75</v>
      </c>
    </row>
    <row r="684" spans="1:11" x14ac:dyDescent="0.2">
      <c r="A684" t="s">
        <v>0</v>
      </c>
      <c r="B684">
        <v>90</v>
      </c>
      <c r="C684" t="s">
        <v>23</v>
      </c>
      <c r="D684" t="s">
        <v>33</v>
      </c>
      <c r="E684" t="s">
        <v>40</v>
      </c>
      <c r="F684">
        <v>0</v>
      </c>
      <c r="G684">
        <v>0</v>
      </c>
      <c r="H684">
        <v>1</v>
      </c>
      <c r="I684">
        <v>0</v>
      </c>
      <c r="J684">
        <v>1</v>
      </c>
      <c r="K684">
        <v>0.5</v>
      </c>
    </row>
    <row r="685" spans="1:11" x14ac:dyDescent="0.2">
      <c r="A685" t="s">
        <v>0</v>
      </c>
      <c r="B685">
        <v>90</v>
      </c>
      <c r="C685" t="s">
        <v>23</v>
      </c>
      <c r="D685" t="s">
        <v>2</v>
      </c>
      <c r="E685" t="s">
        <v>61</v>
      </c>
      <c r="F685">
        <v>1</v>
      </c>
      <c r="G685">
        <v>0</v>
      </c>
      <c r="H685">
        <v>1</v>
      </c>
      <c r="I685">
        <v>0</v>
      </c>
      <c r="J685">
        <v>2</v>
      </c>
      <c r="K685">
        <v>1.5</v>
      </c>
    </row>
    <row r="686" spans="1:11" x14ac:dyDescent="0.2">
      <c r="A686" t="s">
        <v>0</v>
      </c>
      <c r="B686">
        <v>90</v>
      </c>
      <c r="C686" t="s">
        <v>23</v>
      </c>
      <c r="D686" t="s">
        <v>2</v>
      </c>
      <c r="E686" t="s">
        <v>35</v>
      </c>
      <c r="F686">
        <v>0</v>
      </c>
      <c r="G686">
        <v>0</v>
      </c>
      <c r="H686">
        <v>0</v>
      </c>
      <c r="I686">
        <v>1</v>
      </c>
      <c r="J686">
        <v>1</v>
      </c>
      <c r="K686">
        <v>0.1</v>
      </c>
    </row>
    <row r="687" spans="1:11" x14ac:dyDescent="0.2">
      <c r="A687" t="s">
        <v>0</v>
      </c>
      <c r="B687">
        <v>91</v>
      </c>
      <c r="C687" t="s">
        <v>4</v>
      </c>
      <c r="D687" t="s">
        <v>6</v>
      </c>
      <c r="E687" t="s">
        <v>29</v>
      </c>
      <c r="F687">
        <v>0</v>
      </c>
      <c r="G687">
        <v>1</v>
      </c>
      <c r="H687">
        <v>1</v>
      </c>
      <c r="I687">
        <v>0</v>
      </c>
      <c r="J687">
        <v>2</v>
      </c>
      <c r="K687">
        <v>1.25</v>
      </c>
    </row>
    <row r="688" spans="1:11" x14ac:dyDescent="0.2">
      <c r="A688" t="s">
        <v>0</v>
      </c>
      <c r="B688">
        <v>91</v>
      </c>
      <c r="C688" t="s">
        <v>4</v>
      </c>
      <c r="D688" t="s">
        <v>6</v>
      </c>
      <c r="E688" t="s">
        <v>45</v>
      </c>
      <c r="F688">
        <v>0</v>
      </c>
      <c r="G688">
        <v>0</v>
      </c>
      <c r="H688">
        <v>2</v>
      </c>
      <c r="I688">
        <v>1</v>
      </c>
      <c r="J688">
        <v>3</v>
      </c>
      <c r="K688">
        <v>1.2</v>
      </c>
    </row>
    <row r="689" spans="1:11" x14ac:dyDescent="0.2">
      <c r="A689" t="s">
        <v>0</v>
      </c>
      <c r="B689">
        <v>91</v>
      </c>
      <c r="C689" t="s">
        <v>4</v>
      </c>
      <c r="D689" t="s">
        <v>2</v>
      </c>
      <c r="E689" t="s">
        <v>7</v>
      </c>
      <c r="F689">
        <v>0</v>
      </c>
      <c r="G689">
        <v>1</v>
      </c>
      <c r="H689">
        <v>0</v>
      </c>
      <c r="I689">
        <v>0</v>
      </c>
      <c r="J689">
        <v>1</v>
      </c>
      <c r="K689">
        <v>0.75</v>
      </c>
    </row>
    <row r="690" spans="1:11" x14ac:dyDescent="0.2">
      <c r="A690" t="s">
        <v>0</v>
      </c>
      <c r="B690">
        <v>91</v>
      </c>
      <c r="C690" t="s">
        <v>4</v>
      </c>
      <c r="D690" t="s">
        <v>2</v>
      </c>
      <c r="E690" t="s">
        <v>53</v>
      </c>
      <c r="F690">
        <v>0</v>
      </c>
      <c r="G690">
        <v>0</v>
      </c>
      <c r="H690">
        <v>0</v>
      </c>
      <c r="I690">
        <v>1</v>
      </c>
      <c r="J690">
        <v>1</v>
      </c>
      <c r="K690">
        <v>0.1</v>
      </c>
    </row>
    <row r="691" spans="1:11" x14ac:dyDescent="0.2">
      <c r="A691" t="s">
        <v>0</v>
      </c>
      <c r="B691">
        <v>91</v>
      </c>
      <c r="C691" t="s">
        <v>4</v>
      </c>
      <c r="D691" t="s">
        <v>2</v>
      </c>
      <c r="E691" t="s">
        <v>32</v>
      </c>
      <c r="F691">
        <v>0</v>
      </c>
      <c r="G691">
        <v>0</v>
      </c>
      <c r="H691">
        <v>0</v>
      </c>
      <c r="I691">
        <v>1</v>
      </c>
      <c r="J691">
        <v>1</v>
      </c>
      <c r="K691">
        <v>0.1</v>
      </c>
    </row>
    <row r="692" spans="1:11" x14ac:dyDescent="0.2">
      <c r="A692" t="s">
        <v>0</v>
      </c>
      <c r="B692">
        <v>91</v>
      </c>
      <c r="C692" t="s">
        <v>1</v>
      </c>
      <c r="D692" t="s">
        <v>33</v>
      </c>
      <c r="E692" t="s">
        <v>45</v>
      </c>
      <c r="F692">
        <v>0</v>
      </c>
      <c r="G692">
        <v>0</v>
      </c>
      <c r="H692">
        <v>2</v>
      </c>
      <c r="I692">
        <v>1</v>
      </c>
      <c r="J692">
        <v>3</v>
      </c>
      <c r="K692">
        <v>1.2</v>
      </c>
    </row>
    <row r="693" spans="1:11" x14ac:dyDescent="0.2">
      <c r="A693" t="s">
        <v>0</v>
      </c>
      <c r="B693">
        <v>91</v>
      </c>
      <c r="C693" t="s">
        <v>23</v>
      </c>
      <c r="D693" t="s">
        <v>33</v>
      </c>
      <c r="E693" t="s">
        <v>34</v>
      </c>
      <c r="F693">
        <v>0</v>
      </c>
      <c r="G693">
        <v>0</v>
      </c>
      <c r="H693">
        <v>0</v>
      </c>
      <c r="I693">
        <v>1</v>
      </c>
      <c r="J693">
        <v>1</v>
      </c>
      <c r="K693">
        <v>0.1</v>
      </c>
    </row>
    <row r="694" spans="1:11" x14ac:dyDescent="0.2">
      <c r="A694" t="s">
        <v>0</v>
      </c>
      <c r="B694">
        <v>91</v>
      </c>
      <c r="C694" t="s">
        <v>23</v>
      </c>
      <c r="D694" t="s">
        <v>33</v>
      </c>
      <c r="E694" t="s">
        <v>40</v>
      </c>
      <c r="F694">
        <v>0</v>
      </c>
      <c r="G694">
        <v>0</v>
      </c>
      <c r="H694">
        <v>1</v>
      </c>
      <c r="I694">
        <v>0</v>
      </c>
      <c r="J694">
        <v>1</v>
      </c>
      <c r="K694">
        <v>0.5</v>
      </c>
    </row>
    <row r="695" spans="1:11" x14ac:dyDescent="0.2">
      <c r="A695" t="s">
        <v>0</v>
      </c>
      <c r="B695">
        <v>91</v>
      </c>
      <c r="C695" t="s">
        <v>23</v>
      </c>
      <c r="D695" t="s">
        <v>2</v>
      </c>
      <c r="E695" t="s">
        <v>35</v>
      </c>
      <c r="F695">
        <v>0</v>
      </c>
      <c r="G695">
        <v>0</v>
      </c>
      <c r="H695">
        <v>1</v>
      </c>
      <c r="I695">
        <v>1</v>
      </c>
      <c r="J695">
        <v>2</v>
      </c>
      <c r="K695">
        <v>0.6</v>
      </c>
    </row>
    <row r="696" spans="1:11" x14ac:dyDescent="0.2">
      <c r="A696" t="s">
        <v>0</v>
      </c>
      <c r="B696">
        <v>92</v>
      </c>
      <c r="C696" t="s">
        <v>4</v>
      </c>
      <c r="D696" t="s">
        <v>6</v>
      </c>
      <c r="E696" t="s">
        <v>29</v>
      </c>
      <c r="F696">
        <v>0</v>
      </c>
      <c r="G696">
        <v>0</v>
      </c>
      <c r="H696">
        <v>1</v>
      </c>
      <c r="I696">
        <v>0</v>
      </c>
      <c r="J696">
        <v>1</v>
      </c>
      <c r="K696">
        <v>0.5</v>
      </c>
    </row>
    <row r="697" spans="1:11" x14ac:dyDescent="0.2">
      <c r="A697" t="s">
        <v>0</v>
      </c>
      <c r="B697">
        <v>92</v>
      </c>
      <c r="C697" t="s">
        <v>4</v>
      </c>
      <c r="D697" t="s">
        <v>6</v>
      </c>
      <c r="E697" t="s">
        <v>45</v>
      </c>
      <c r="F697">
        <v>0</v>
      </c>
      <c r="G697">
        <v>1</v>
      </c>
      <c r="H697">
        <v>0</v>
      </c>
      <c r="I697">
        <v>0</v>
      </c>
      <c r="J697">
        <v>1</v>
      </c>
      <c r="K697">
        <v>0.75</v>
      </c>
    </row>
    <row r="698" spans="1:11" x14ac:dyDescent="0.2">
      <c r="A698" t="s">
        <v>0</v>
      </c>
      <c r="B698">
        <v>92</v>
      </c>
      <c r="C698" t="s">
        <v>4</v>
      </c>
      <c r="D698" t="s">
        <v>2</v>
      </c>
      <c r="E698" t="s">
        <v>7</v>
      </c>
      <c r="F698">
        <v>0</v>
      </c>
      <c r="G698">
        <v>1</v>
      </c>
      <c r="H698">
        <v>0</v>
      </c>
      <c r="I698">
        <v>0</v>
      </c>
      <c r="J698">
        <v>1</v>
      </c>
      <c r="K698">
        <v>0.75</v>
      </c>
    </row>
    <row r="699" spans="1:11" x14ac:dyDescent="0.2">
      <c r="A699" t="s">
        <v>0</v>
      </c>
      <c r="B699">
        <v>92</v>
      </c>
      <c r="C699" t="s">
        <v>4</v>
      </c>
      <c r="D699" t="s">
        <v>2</v>
      </c>
      <c r="E699" t="s">
        <v>32</v>
      </c>
      <c r="F699">
        <v>0</v>
      </c>
      <c r="G699">
        <v>1</v>
      </c>
      <c r="H699">
        <v>0</v>
      </c>
      <c r="I699">
        <v>0</v>
      </c>
      <c r="J699">
        <v>1</v>
      </c>
      <c r="K699">
        <v>0.75</v>
      </c>
    </row>
    <row r="700" spans="1:11" x14ac:dyDescent="0.2">
      <c r="A700" t="s">
        <v>0</v>
      </c>
      <c r="B700">
        <v>92</v>
      </c>
      <c r="C700" t="s">
        <v>1</v>
      </c>
      <c r="D700" t="s">
        <v>33</v>
      </c>
      <c r="E700" t="s">
        <v>45</v>
      </c>
      <c r="F700">
        <v>0</v>
      </c>
      <c r="G700">
        <v>1</v>
      </c>
      <c r="H700">
        <v>0</v>
      </c>
      <c r="I700">
        <v>0</v>
      </c>
      <c r="J700">
        <v>1</v>
      </c>
      <c r="K700">
        <v>0.75</v>
      </c>
    </row>
    <row r="701" spans="1:11" x14ac:dyDescent="0.2">
      <c r="A701" t="s">
        <v>0</v>
      </c>
      <c r="B701">
        <v>92</v>
      </c>
      <c r="C701" t="s">
        <v>15</v>
      </c>
      <c r="D701" t="s">
        <v>2</v>
      </c>
      <c r="E701" t="s">
        <v>16</v>
      </c>
      <c r="F701">
        <v>0</v>
      </c>
      <c r="G701">
        <v>2</v>
      </c>
      <c r="H701">
        <v>0</v>
      </c>
      <c r="I701">
        <v>0</v>
      </c>
      <c r="J701">
        <v>2</v>
      </c>
      <c r="K701">
        <v>1.5</v>
      </c>
    </row>
    <row r="702" spans="1:11" x14ac:dyDescent="0.2">
      <c r="A702" t="s">
        <v>0</v>
      </c>
      <c r="B702">
        <v>92</v>
      </c>
      <c r="C702" t="s">
        <v>18</v>
      </c>
      <c r="D702" t="s">
        <v>6</v>
      </c>
      <c r="E702" t="s">
        <v>19</v>
      </c>
      <c r="F702">
        <v>2</v>
      </c>
      <c r="G702">
        <v>0</v>
      </c>
      <c r="H702">
        <v>0</v>
      </c>
      <c r="I702">
        <v>0</v>
      </c>
      <c r="J702">
        <v>2</v>
      </c>
      <c r="K702">
        <v>2</v>
      </c>
    </row>
    <row r="703" spans="1:11" x14ac:dyDescent="0.2">
      <c r="A703" t="s">
        <v>0</v>
      </c>
      <c r="B703">
        <v>92</v>
      </c>
      <c r="C703" t="s">
        <v>23</v>
      </c>
      <c r="D703" t="s">
        <v>33</v>
      </c>
      <c r="E703" t="s">
        <v>34</v>
      </c>
      <c r="F703">
        <v>0</v>
      </c>
      <c r="G703">
        <v>1</v>
      </c>
      <c r="H703">
        <v>0</v>
      </c>
      <c r="I703">
        <v>0</v>
      </c>
      <c r="J703">
        <v>1</v>
      </c>
      <c r="K703">
        <v>0.75</v>
      </c>
    </row>
    <row r="704" spans="1:11" x14ac:dyDescent="0.2">
      <c r="A704" t="s">
        <v>0</v>
      </c>
      <c r="B704">
        <v>92</v>
      </c>
      <c r="C704" t="s">
        <v>23</v>
      </c>
      <c r="D704" t="s">
        <v>33</v>
      </c>
      <c r="E704" t="s">
        <v>40</v>
      </c>
      <c r="F704">
        <v>0</v>
      </c>
      <c r="G704">
        <v>0</v>
      </c>
      <c r="H704">
        <v>2</v>
      </c>
      <c r="I704">
        <v>0</v>
      </c>
      <c r="J704">
        <v>2</v>
      </c>
      <c r="K704">
        <v>1</v>
      </c>
    </row>
    <row r="705" spans="1:11" x14ac:dyDescent="0.2">
      <c r="A705" t="s">
        <v>0</v>
      </c>
      <c r="B705">
        <v>93</v>
      </c>
      <c r="C705" t="s">
        <v>4</v>
      </c>
      <c r="D705" t="s">
        <v>6</v>
      </c>
      <c r="E705" t="s">
        <v>29</v>
      </c>
      <c r="F705">
        <v>0</v>
      </c>
      <c r="G705">
        <v>0</v>
      </c>
      <c r="H705">
        <v>1</v>
      </c>
      <c r="I705">
        <v>0</v>
      </c>
      <c r="J705">
        <v>1</v>
      </c>
      <c r="K705">
        <v>0.5</v>
      </c>
    </row>
    <row r="706" spans="1:11" x14ac:dyDescent="0.2">
      <c r="A706" t="s">
        <v>0</v>
      </c>
      <c r="B706">
        <v>93</v>
      </c>
      <c r="C706" t="s">
        <v>4</v>
      </c>
      <c r="D706" t="s">
        <v>2</v>
      </c>
      <c r="E706" t="s">
        <v>53</v>
      </c>
      <c r="F706">
        <v>0</v>
      </c>
      <c r="G706">
        <v>0</v>
      </c>
      <c r="H706">
        <v>0</v>
      </c>
      <c r="I706">
        <v>1</v>
      </c>
      <c r="J706">
        <v>1</v>
      </c>
      <c r="K706">
        <v>0.1</v>
      </c>
    </row>
    <row r="707" spans="1:11" x14ac:dyDescent="0.2">
      <c r="A707" t="s">
        <v>0</v>
      </c>
      <c r="B707">
        <v>93</v>
      </c>
      <c r="C707" t="s">
        <v>4</v>
      </c>
      <c r="D707" t="s">
        <v>2</v>
      </c>
      <c r="E707" t="s">
        <v>32</v>
      </c>
      <c r="F707">
        <v>0</v>
      </c>
      <c r="G707">
        <v>0</v>
      </c>
      <c r="H707">
        <v>0</v>
      </c>
      <c r="I707">
        <v>1</v>
      </c>
      <c r="J707">
        <v>1</v>
      </c>
      <c r="K707">
        <v>0.1</v>
      </c>
    </row>
    <row r="708" spans="1:11" x14ac:dyDescent="0.2">
      <c r="A708" t="s">
        <v>0</v>
      </c>
      <c r="B708">
        <v>93</v>
      </c>
      <c r="C708" t="s">
        <v>23</v>
      </c>
      <c r="D708" t="s">
        <v>33</v>
      </c>
      <c r="E708" t="s">
        <v>34</v>
      </c>
      <c r="F708">
        <v>0</v>
      </c>
      <c r="G708">
        <v>0</v>
      </c>
      <c r="H708">
        <v>1</v>
      </c>
      <c r="I708">
        <v>0</v>
      </c>
      <c r="J708">
        <v>1</v>
      </c>
      <c r="K708">
        <v>0.6</v>
      </c>
    </row>
    <row r="709" spans="1:11" x14ac:dyDescent="0.2">
      <c r="A709" t="s">
        <v>0</v>
      </c>
      <c r="B709">
        <v>94</v>
      </c>
      <c r="C709" t="s">
        <v>4</v>
      </c>
      <c r="D709" t="s">
        <v>6</v>
      </c>
      <c r="E709" t="s">
        <v>29</v>
      </c>
      <c r="F709">
        <v>0</v>
      </c>
      <c r="G709">
        <v>2</v>
      </c>
      <c r="H709">
        <v>1</v>
      </c>
      <c r="I709">
        <v>0</v>
      </c>
      <c r="J709">
        <v>3</v>
      </c>
      <c r="K709">
        <v>2</v>
      </c>
    </row>
    <row r="710" spans="1:11" x14ac:dyDescent="0.2">
      <c r="A710" t="s">
        <v>0</v>
      </c>
      <c r="B710">
        <v>94</v>
      </c>
      <c r="C710" t="s">
        <v>4</v>
      </c>
      <c r="D710" t="s">
        <v>6</v>
      </c>
      <c r="E710" t="s">
        <v>10</v>
      </c>
      <c r="F710">
        <v>0</v>
      </c>
      <c r="G710">
        <v>0</v>
      </c>
      <c r="H710">
        <v>6</v>
      </c>
      <c r="I710">
        <v>0</v>
      </c>
      <c r="J710">
        <v>6</v>
      </c>
      <c r="K710">
        <v>3</v>
      </c>
    </row>
    <row r="711" spans="1:11" x14ac:dyDescent="0.2">
      <c r="A711" t="s">
        <v>0</v>
      </c>
      <c r="B711">
        <v>94</v>
      </c>
      <c r="C711" t="s">
        <v>23</v>
      </c>
      <c r="D711" t="s">
        <v>2</v>
      </c>
      <c r="E711" t="s">
        <v>10</v>
      </c>
      <c r="F711">
        <v>0</v>
      </c>
      <c r="G711">
        <v>0</v>
      </c>
      <c r="H711">
        <v>6</v>
      </c>
      <c r="I711">
        <v>0</v>
      </c>
      <c r="J711">
        <v>6</v>
      </c>
      <c r="K711">
        <v>3</v>
      </c>
    </row>
    <row r="712" spans="1:11" x14ac:dyDescent="0.2">
      <c r="A712" t="s">
        <v>0</v>
      </c>
      <c r="B712">
        <v>94</v>
      </c>
      <c r="C712" t="s">
        <v>23</v>
      </c>
      <c r="D712" t="s">
        <v>6</v>
      </c>
      <c r="E712" t="s">
        <v>25</v>
      </c>
      <c r="F712">
        <v>0</v>
      </c>
      <c r="G712">
        <v>0</v>
      </c>
      <c r="H712">
        <v>6</v>
      </c>
      <c r="I712">
        <v>0</v>
      </c>
      <c r="J712">
        <v>6</v>
      </c>
      <c r="K712">
        <v>3</v>
      </c>
    </row>
    <row r="713" spans="1:11" x14ac:dyDescent="0.2">
      <c r="A713" t="s">
        <v>0</v>
      </c>
      <c r="B713">
        <v>94</v>
      </c>
      <c r="C713" t="s">
        <v>23</v>
      </c>
      <c r="D713" t="s">
        <v>2</v>
      </c>
      <c r="E713" t="s">
        <v>35</v>
      </c>
      <c r="F713">
        <v>0</v>
      </c>
      <c r="G713">
        <v>0</v>
      </c>
      <c r="H713">
        <v>1</v>
      </c>
      <c r="I713">
        <v>0</v>
      </c>
      <c r="J713">
        <v>1</v>
      </c>
      <c r="K713">
        <v>0.5</v>
      </c>
    </row>
    <row r="714" spans="1:11" x14ac:dyDescent="0.2">
      <c r="A714" t="s">
        <v>0</v>
      </c>
      <c r="B714">
        <v>95</v>
      </c>
      <c r="C714" t="s">
        <v>4</v>
      </c>
      <c r="D714" t="s">
        <v>6</v>
      </c>
      <c r="E714" t="s">
        <v>29</v>
      </c>
      <c r="F714">
        <v>0</v>
      </c>
      <c r="G714">
        <v>0</v>
      </c>
      <c r="H714">
        <v>1</v>
      </c>
      <c r="I714">
        <v>0</v>
      </c>
      <c r="J714">
        <v>1</v>
      </c>
      <c r="K714">
        <v>0.5</v>
      </c>
    </row>
    <row r="715" spans="1:11" x14ac:dyDescent="0.2">
      <c r="A715" t="s">
        <v>0</v>
      </c>
      <c r="B715">
        <v>95</v>
      </c>
      <c r="C715" t="s">
        <v>4</v>
      </c>
      <c r="D715" t="s">
        <v>6</v>
      </c>
      <c r="E715" t="s">
        <v>45</v>
      </c>
      <c r="F715">
        <v>0</v>
      </c>
      <c r="G715">
        <v>1</v>
      </c>
      <c r="H715">
        <v>0</v>
      </c>
      <c r="I715">
        <v>0</v>
      </c>
      <c r="J715">
        <v>1</v>
      </c>
      <c r="K715">
        <v>0.75</v>
      </c>
    </row>
    <row r="716" spans="1:11" x14ac:dyDescent="0.2">
      <c r="A716" t="s">
        <v>0</v>
      </c>
      <c r="B716">
        <v>95</v>
      </c>
      <c r="C716" t="s">
        <v>1</v>
      </c>
      <c r="D716" t="s">
        <v>33</v>
      </c>
      <c r="E716" t="s">
        <v>45</v>
      </c>
      <c r="F716">
        <v>0</v>
      </c>
      <c r="G716">
        <v>1</v>
      </c>
      <c r="H716">
        <v>0</v>
      </c>
      <c r="I716">
        <v>0</v>
      </c>
      <c r="J716">
        <v>1</v>
      </c>
      <c r="K716">
        <v>0.75</v>
      </c>
    </row>
    <row r="717" spans="1:11" x14ac:dyDescent="0.2">
      <c r="A717" t="s">
        <v>0</v>
      </c>
      <c r="B717">
        <v>95</v>
      </c>
      <c r="C717" t="s">
        <v>15</v>
      </c>
      <c r="D717" t="s">
        <v>2</v>
      </c>
      <c r="E717" t="s">
        <v>16</v>
      </c>
      <c r="F717">
        <v>0</v>
      </c>
      <c r="G717">
        <v>0</v>
      </c>
      <c r="H717">
        <v>0</v>
      </c>
      <c r="I717">
        <v>4</v>
      </c>
      <c r="J717">
        <v>4</v>
      </c>
      <c r="K717">
        <v>0.4</v>
      </c>
    </row>
    <row r="718" spans="1:11" x14ac:dyDescent="0.2">
      <c r="A718" t="s">
        <v>0</v>
      </c>
      <c r="B718">
        <v>95</v>
      </c>
      <c r="C718" t="s">
        <v>18</v>
      </c>
      <c r="D718" t="s">
        <v>6</v>
      </c>
      <c r="E718" t="s">
        <v>19</v>
      </c>
      <c r="F718">
        <v>0</v>
      </c>
      <c r="G718">
        <v>0</v>
      </c>
      <c r="H718">
        <v>2</v>
      </c>
      <c r="I718">
        <v>0</v>
      </c>
      <c r="J718">
        <v>2</v>
      </c>
      <c r="K718">
        <v>1</v>
      </c>
    </row>
    <row r="719" spans="1:11" x14ac:dyDescent="0.2">
      <c r="A719" t="s">
        <v>0</v>
      </c>
      <c r="B719">
        <v>95</v>
      </c>
      <c r="C719" t="s">
        <v>23</v>
      </c>
      <c r="D719" t="s">
        <v>33</v>
      </c>
      <c r="E719" t="s">
        <v>40</v>
      </c>
      <c r="F719">
        <v>0</v>
      </c>
      <c r="G719">
        <v>1</v>
      </c>
      <c r="H719">
        <v>1</v>
      </c>
      <c r="I719">
        <v>0</v>
      </c>
      <c r="J719">
        <v>2</v>
      </c>
      <c r="K719">
        <v>1.25</v>
      </c>
    </row>
    <row r="720" spans="1:11" x14ac:dyDescent="0.2">
      <c r="A720" t="s">
        <v>0</v>
      </c>
      <c r="B720">
        <v>96</v>
      </c>
      <c r="C720" t="s">
        <v>4</v>
      </c>
      <c r="D720" t="s">
        <v>6</v>
      </c>
      <c r="E720" t="s">
        <v>29</v>
      </c>
      <c r="F720">
        <v>0</v>
      </c>
      <c r="G720">
        <v>0</v>
      </c>
      <c r="H720">
        <v>1</v>
      </c>
      <c r="I720">
        <v>0</v>
      </c>
      <c r="J720">
        <v>1</v>
      </c>
      <c r="K720">
        <v>0.5</v>
      </c>
    </row>
    <row r="721" spans="1:11" x14ac:dyDescent="0.2">
      <c r="A721" t="s">
        <v>0</v>
      </c>
      <c r="B721">
        <v>96</v>
      </c>
      <c r="C721" t="s">
        <v>4</v>
      </c>
      <c r="D721" t="s">
        <v>2</v>
      </c>
      <c r="E721" t="s">
        <v>48</v>
      </c>
      <c r="F721">
        <v>1</v>
      </c>
      <c r="G721">
        <v>0</v>
      </c>
      <c r="H721">
        <v>0</v>
      </c>
      <c r="I721">
        <v>0</v>
      </c>
      <c r="J721">
        <v>1</v>
      </c>
      <c r="K721">
        <v>1</v>
      </c>
    </row>
    <row r="722" spans="1:11" x14ac:dyDescent="0.2">
      <c r="A722" t="s">
        <v>0</v>
      </c>
      <c r="B722">
        <v>96</v>
      </c>
      <c r="C722" t="s">
        <v>4</v>
      </c>
      <c r="D722" t="s">
        <v>2</v>
      </c>
      <c r="E722" t="s">
        <v>7</v>
      </c>
      <c r="F722">
        <v>0</v>
      </c>
      <c r="G722">
        <v>1</v>
      </c>
      <c r="H722">
        <v>0</v>
      </c>
      <c r="I722">
        <v>0</v>
      </c>
      <c r="J722">
        <v>1</v>
      </c>
      <c r="K722">
        <v>0.75</v>
      </c>
    </row>
    <row r="723" spans="1:11" x14ac:dyDescent="0.2">
      <c r="A723" t="s">
        <v>0</v>
      </c>
      <c r="B723">
        <v>96</v>
      </c>
      <c r="C723" t="s">
        <v>4</v>
      </c>
      <c r="D723" t="s">
        <v>2</v>
      </c>
      <c r="E723" t="s">
        <v>32</v>
      </c>
      <c r="F723">
        <v>4</v>
      </c>
      <c r="G723">
        <v>0</v>
      </c>
      <c r="H723">
        <v>0</v>
      </c>
      <c r="I723">
        <v>3</v>
      </c>
      <c r="J723">
        <v>7</v>
      </c>
      <c r="K723">
        <v>4.3</v>
      </c>
    </row>
    <row r="724" spans="1:11" x14ac:dyDescent="0.2">
      <c r="A724" t="s">
        <v>0</v>
      </c>
      <c r="B724">
        <v>96</v>
      </c>
      <c r="C724" t="s">
        <v>1</v>
      </c>
      <c r="D724" t="s">
        <v>2</v>
      </c>
      <c r="E724" t="s">
        <v>48</v>
      </c>
      <c r="F724">
        <v>1</v>
      </c>
      <c r="G724">
        <v>0</v>
      </c>
      <c r="H724">
        <v>0</v>
      </c>
      <c r="I724">
        <v>0</v>
      </c>
      <c r="J724">
        <v>1</v>
      </c>
      <c r="K724">
        <v>1</v>
      </c>
    </row>
    <row r="725" spans="1:11" x14ac:dyDescent="0.2">
      <c r="A725" t="s">
        <v>0</v>
      </c>
      <c r="B725">
        <v>96</v>
      </c>
      <c r="C725" t="s">
        <v>1</v>
      </c>
      <c r="D725" t="s">
        <v>2</v>
      </c>
      <c r="E725" t="s">
        <v>98</v>
      </c>
      <c r="F725">
        <v>0</v>
      </c>
      <c r="G725">
        <v>0</v>
      </c>
      <c r="H725">
        <v>1</v>
      </c>
      <c r="I725">
        <v>0</v>
      </c>
      <c r="J725">
        <v>1</v>
      </c>
      <c r="K725">
        <v>0.5</v>
      </c>
    </row>
    <row r="726" spans="1:11" x14ac:dyDescent="0.2">
      <c r="A726" t="s">
        <v>0</v>
      </c>
      <c r="B726">
        <v>96</v>
      </c>
      <c r="C726" t="s">
        <v>15</v>
      </c>
      <c r="D726" t="s">
        <v>2</v>
      </c>
      <c r="E726" t="s">
        <v>46</v>
      </c>
      <c r="F726">
        <v>0</v>
      </c>
      <c r="G726">
        <v>0</v>
      </c>
      <c r="H726">
        <v>0</v>
      </c>
      <c r="I726">
        <v>3</v>
      </c>
      <c r="J726">
        <v>3</v>
      </c>
      <c r="K726">
        <v>0.3</v>
      </c>
    </row>
    <row r="727" spans="1:11" x14ac:dyDescent="0.2">
      <c r="A727" t="s">
        <v>0</v>
      </c>
      <c r="B727">
        <v>96</v>
      </c>
      <c r="C727" t="s">
        <v>15</v>
      </c>
      <c r="D727" t="s">
        <v>2</v>
      </c>
      <c r="E727" t="s">
        <v>48</v>
      </c>
      <c r="F727">
        <v>1</v>
      </c>
      <c r="G727">
        <v>0</v>
      </c>
      <c r="H727">
        <v>0</v>
      </c>
      <c r="I727">
        <v>0</v>
      </c>
      <c r="J727">
        <v>1</v>
      </c>
      <c r="K727">
        <v>1</v>
      </c>
    </row>
    <row r="728" spans="1:11" x14ac:dyDescent="0.2">
      <c r="A728" t="s">
        <v>0</v>
      </c>
      <c r="B728">
        <v>96</v>
      </c>
      <c r="C728" t="s">
        <v>23</v>
      </c>
      <c r="D728" t="s">
        <v>33</v>
      </c>
      <c r="E728" t="s">
        <v>34</v>
      </c>
      <c r="F728">
        <v>0</v>
      </c>
      <c r="G728">
        <v>4</v>
      </c>
      <c r="H728">
        <v>2</v>
      </c>
      <c r="I728">
        <v>1</v>
      </c>
      <c r="J728">
        <v>7</v>
      </c>
      <c r="K728">
        <v>4.3</v>
      </c>
    </row>
    <row r="729" spans="1:11" x14ac:dyDescent="0.2">
      <c r="A729" t="s">
        <v>0</v>
      </c>
      <c r="B729">
        <v>96</v>
      </c>
      <c r="C729" t="s">
        <v>23</v>
      </c>
      <c r="D729" t="s">
        <v>2</v>
      </c>
      <c r="E729" t="s">
        <v>48</v>
      </c>
      <c r="F729">
        <v>1</v>
      </c>
      <c r="G729">
        <v>0</v>
      </c>
      <c r="H729">
        <v>0</v>
      </c>
      <c r="I729">
        <v>0</v>
      </c>
      <c r="J729">
        <v>1</v>
      </c>
      <c r="K729">
        <v>1</v>
      </c>
    </row>
    <row r="730" spans="1:11" x14ac:dyDescent="0.2">
      <c r="A730" t="s">
        <v>0</v>
      </c>
      <c r="B730">
        <v>96</v>
      </c>
      <c r="C730" t="s">
        <v>23</v>
      </c>
      <c r="D730" t="s">
        <v>33</v>
      </c>
      <c r="E730" t="s">
        <v>40</v>
      </c>
      <c r="F730">
        <v>0</v>
      </c>
      <c r="G730">
        <v>1</v>
      </c>
      <c r="H730">
        <v>0</v>
      </c>
      <c r="I730">
        <v>0</v>
      </c>
      <c r="J730">
        <v>1</v>
      </c>
      <c r="K730">
        <v>0.75</v>
      </c>
    </row>
    <row r="731" spans="1:11" x14ac:dyDescent="0.2">
      <c r="A731" t="s">
        <v>0</v>
      </c>
      <c r="B731">
        <v>96</v>
      </c>
      <c r="C731" t="s">
        <v>27</v>
      </c>
      <c r="D731" t="s">
        <v>2</v>
      </c>
      <c r="E731" t="s">
        <v>42</v>
      </c>
      <c r="F731">
        <v>0</v>
      </c>
      <c r="G731">
        <v>0</v>
      </c>
      <c r="H731">
        <v>0</v>
      </c>
      <c r="I731">
        <v>1</v>
      </c>
      <c r="J731">
        <v>1</v>
      </c>
      <c r="K731">
        <v>0.1</v>
      </c>
    </row>
    <row r="732" spans="1:11" x14ac:dyDescent="0.2">
      <c r="A732" t="s">
        <v>0</v>
      </c>
      <c r="B732">
        <v>97</v>
      </c>
      <c r="C732" t="s">
        <v>4</v>
      </c>
      <c r="D732" t="s">
        <v>6</v>
      </c>
      <c r="E732" t="s">
        <v>29</v>
      </c>
      <c r="F732">
        <v>0</v>
      </c>
      <c r="G732">
        <v>0</v>
      </c>
      <c r="H732">
        <v>1</v>
      </c>
      <c r="I732">
        <v>0</v>
      </c>
      <c r="J732">
        <v>1</v>
      </c>
      <c r="K732">
        <v>0.5</v>
      </c>
    </row>
    <row r="733" spans="1:11" x14ac:dyDescent="0.2">
      <c r="A733" t="s">
        <v>0</v>
      </c>
      <c r="B733">
        <v>97</v>
      </c>
      <c r="C733" t="s">
        <v>4</v>
      </c>
      <c r="D733" t="s">
        <v>2</v>
      </c>
      <c r="E733" t="s">
        <v>32</v>
      </c>
      <c r="F733">
        <v>0</v>
      </c>
      <c r="G733">
        <v>1</v>
      </c>
      <c r="H733">
        <v>0</v>
      </c>
      <c r="I733">
        <v>0</v>
      </c>
      <c r="J733">
        <v>1</v>
      </c>
      <c r="K733">
        <v>0.75</v>
      </c>
    </row>
    <row r="734" spans="1:11" x14ac:dyDescent="0.2">
      <c r="A734" t="s">
        <v>0</v>
      </c>
      <c r="B734">
        <v>97</v>
      </c>
      <c r="C734" t="s">
        <v>23</v>
      </c>
      <c r="D734" t="s">
        <v>33</v>
      </c>
      <c r="E734" t="s">
        <v>34</v>
      </c>
      <c r="F734">
        <v>0</v>
      </c>
      <c r="G734">
        <v>1</v>
      </c>
      <c r="H734">
        <v>0</v>
      </c>
      <c r="I734">
        <v>0</v>
      </c>
      <c r="J734">
        <v>1</v>
      </c>
      <c r="K734">
        <v>0.75</v>
      </c>
    </row>
    <row r="735" spans="1:11" x14ac:dyDescent="0.2">
      <c r="A735" t="s">
        <v>0</v>
      </c>
      <c r="B735">
        <v>98</v>
      </c>
      <c r="C735" t="s">
        <v>4</v>
      </c>
      <c r="D735" t="s">
        <v>6</v>
      </c>
      <c r="E735" t="s">
        <v>29</v>
      </c>
      <c r="F735">
        <v>0</v>
      </c>
      <c r="G735">
        <v>0</v>
      </c>
      <c r="H735">
        <v>1</v>
      </c>
      <c r="I735">
        <v>0</v>
      </c>
      <c r="J735">
        <v>1</v>
      </c>
      <c r="K735">
        <v>0.5</v>
      </c>
    </row>
    <row r="736" spans="1:11" x14ac:dyDescent="0.2">
      <c r="A736" t="s">
        <v>0</v>
      </c>
      <c r="B736">
        <v>98</v>
      </c>
      <c r="C736" t="s">
        <v>4</v>
      </c>
      <c r="D736" t="s">
        <v>6</v>
      </c>
      <c r="E736" t="s">
        <v>45</v>
      </c>
      <c r="F736">
        <v>0</v>
      </c>
      <c r="G736">
        <v>0</v>
      </c>
      <c r="H736">
        <v>0</v>
      </c>
      <c r="I736">
        <v>1</v>
      </c>
      <c r="J736">
        <v>1</v>
      </c>
      <c r="K736">
        <v>0.1</v>
      </c>
    </row>
    <row r="737" spans="1:11" x14ac:dyDescent="0.2">
      <c r="A737" t="s">
        <v>0</v>
      </c>
      <c r="B737">
        <v>98</v>
      </c>
      <c r="C737" t="s">
        <v>4</v>
      </c>
      <c r="D737" t="s">
        <v>2</v>
      </c>
      <c r="E737" t="s">
        <v>7</v>
      </c>
      <c r="F737">
        <v>0</v>
      </c>
      <c r="G737">
        <v>1</v>
      </c>
      <c r="H737">
        <v>0</v>
      </c>
      <c r="I737">
        <v>0</v>
      </c>
      <c r="J737">
        <v>1</v>
      </c>
      <c r="K737">
        <v>0.75</v>
      </c>
    </row>
    <row r="738" spans="1:11" x14ac:dyDescent="0.2">
      <c r="A738" t="s">
        <v>0</v>
      </c>
      <c r="B738">
        <v>98</v>
      </c>
      <c r="C738" t="s">
        <v>4</v>
      </c>
      <c r="D738" t="s">
        <v>2</v>
      </c>
      <c r="E738" t="s">
        <v>32</v>
      </c>
      <c r="F738">
        <v>1</v>
      </c>
      <c r="G738">
        <v>0</v>
      </c>
      <c r="H738">
        <v>0</v>
      </c>
      <c r="I738">
        <v>0</v>
      </c>
      <c r="J738">
        <v>1</v>
      </c>
      <c r="K738">
        <v>1</v>
      </c>
    </row>
    <row r="739" spans="1:11" x14ac:dyDescent="0.2">
      <c r="A739" t="s">
        <v>0</v>
      </c>
      <c r="B739">
        <v>98</v>
      </c>
      <c r="C739" t="s">
        <v>11</v>
      </c>
      <c r="D739" t="s">
        <v>2</v>
      </c>
      <c r="E739" t="s">
        <v>76</v>
      </c>
      <c r="F739">
        <v>0</v>
      </c>
      <c r="G739">
        <v>1</v>
      </c>
      <c r="H739">
        <v>0</v>
      </c>
      <c r="I739">
        <v>0</v>
      </c>
      <c r="J739">
        <v>1</v>
      </c>
      <c r="K739">
        <v>0.75</v>
      </c>
    </row>
    <row r="740" spans="1:11" x14ac:dyDescent="0.2">
      <c r="A740" t="s">
        <v>0</v>
      </c>
      <c r="B740">
        <v>98</v>
      </c>
      <c r="C740" t="s">
        <v>1</v>
      </c>
      <c r="D740" t="s">
        <v>33</v>
      </c>
      <c r="E740" t="s">
        <v>45</v>
      </c>
      <c r="F740">
        <v>0</v>
      </c>
      <c r="G740">
        <v>0</v>
      </c>
      <c r="H740">
        <v>0</v>
      </c>
      <c r="I740">
        <v>1</v>
      </c>
      <c r="J740">
        <v>1</v>
      </c>
      <c r="K740">
        <v>0.1</v>
      </c>
    </row>
    <row r="741" spans="1:11" x14ac:dyDescent="0.2">
      <c r="A741" t="s">
        <v>0</v>
      </c>
      <c r="B741">
        <v>98</v>
      </c>
      <c r="C741" t="s">
        <v>18</v>
      </c>
      <c r="D741" t="s">
        <v>2</v>
      </c>
      <c r="E741" t="s">
        <v>54</v>
      </c>
      <c r="F741">
        <v>0</v>
      </c>
      <c r="G741">
        <v>0</v>
      </c>
      <c r="H741">
        <v>0</v>
      </c>
      <c r="I741">
        <v>2</v>
      </c>
      <c r="J741">
        <v>2</v>
      </c>
      <c r="K741">
        <v>0.2</v>
      </c>
    </row>
    <row r="742" spans="1:11" x14ac:dyDescent="0.2">
      <c r="A742" t="s">
        <v>0</v>
      </c>
      <c r="B742">
        <v>98</v>
      </c>
      <c r="C742" t="s">
        <v>23</v>
      </c>
      <c r="D742" t="s">
        <v>33</v>
      </c>
      <c r="E742" t="s">
        <v>34</v>
      </c>
      <c r="F742">
        <v>0</v>
      </c>
      <c r="G742">
        <v>1</v>
      </c>
      <c r="H742">
        <v>0</v>
      </c>
      <c r="I742">
        <v>0</v>
      </c>
      <c r="J742">
        <v>1</v>
      </c>
      <c r="K742">
        <v>0.75</v>
      </c>
    </row>
    <row r="743" spans="1:11" x14ac:dyDescent="0.2">
      <c r="A743" t="s">
        <v>0</v>
      </c>
      <c r="B743">
        <v>98</v>
      </c>
      <c r="C743" t="s">
        <v>23</v>
      </c>
      <c r="D743" t="s">
        <v>2</v>
      </c>
      <c r="E743" t="s">
        <v>35</v>
      </c>
      <c r="F743">
        <v>0</v>
      </c>
      <c r="G743">
        <v>0</v>
      </c>
      <c r="H743">
        <v>1</v>
      </c>
      <c r="I743">
        <v>0</v>
      </c>
      <c r="J743">
        <v>1</v>
      </c>
      <c r="K743">
        <v>0.5</v>
      </c>
    </row>
    <row r="744" spans="1:11" x14ac:dyDescent="0.2">
      <c r="A744" t="s">
        <v>0</v>
      </c>
      <c r="B744">
        <v>99</v>
      </c>
      <c r="C744" t="s">
        <v>4</v>
      </c>
      <c r="D744" t="s">
        <v>6</v>
      </c>
      <c r="E744" t="s">
        <v>29</v>
      </c>
      <c r="F744">
        <v>0</v>
      </c>
      <c r="G744">
        <v>0</v>
      </c>
      <c r="H744">
        <v>1</v>
      </c>
      <c r="I744">
        <v>0</v>
      </c>
      <c r="J744">
        <v>1</v>
      </c>
      <c r="K744">
        <v>0.5</v>
      </c>
    </row>
    <row r="745" spans="1:11" x14ac:dyDescent="0.2">
      <c r="A745" t="s">
        <v>0</v>
      </c>
      <c r="B745">
        <v>99</v>
      </c>
      <c r="C745" t="s">
        <v>18</v>
      </c>
      <c r="D745" t="s">
        <v>2</v>
      </c>
      <c r="E745" t="s">
        <v>54</v>
      </c>
      <c r="F745">
        <v>0</v>
      </c>
      <c r="G745">
        <v>0</v>
      </c>
      <c r="H745">
        <v>0</v>
      </c>
      <c r="I745">
        <v>1</v>
      </c>
      <c r="J745">
        <v>1</v>
      </c>
      <c r="K745">
        <v>0.1</v>
      </c>
    </row>
    <row r="746" spans="1:11" x14ac:dyDescent="0.2">
      <c r="A746" t="s">
        <v>0</v>
      </c>
      <c r="B746">
        <v>99</v>
      </c>
      <c r="C746" t="s">
        <v>23</v>
      </c>
      <c r="D746" t="s">
        <v>2</v>
      </c>
      <c r="E746" t="s">
        <v>61</v>
      </c>
      <c r="F746">
        <v>0</v>
      </c>
      <c r="G746">
        <v>0</v>
      </c>
      <c r="H746">
        <v>1</v>
      </c>
      <c r="I746">
        <v>0</v>
      </c>
      <c r="J746">
        <v>1</v>
      </c>
      <c r="K746">
        <v>0.5</v>
      </c>
    </row>
    <row r="747" spans="1:11" x14ac:dyDescent="0.2">
      <c r="A747" t="s">
        <v>0</v>
      </c>
      <c r="B747">
        <v>100</v>
      </c>
      <c r="C747" t="s">
        <v>4</v>
      </c>
      <c r="D747" t="s">
        <v>2</v>
      </c>
      <c r="E747" t="s">
        <v>32</v>
      </c>
      <c r="F747">
        <v>0</v>
      </c>
      <c r="G747">
        <v>1</v>
      </c>
      <c r="H747">
        <v>1</v>
      </c>
      <c r="I747">
        <v>0</v>
      </c>
      <c r="J747">
        <v>2</v>
      </c>
      <c r="K747">
        <v>1.25</v>
      </c>
    </row>
    <row r="748" spans="1:11" x14ac:dyDescent="0.2">
      <c r="A748" t="s">
        <v>0</v>
      </c>
      <c r="B748">
        <v>100</v>
      </c>
      <c r="C748" t="s">
        <v>18</v>
      </c>
      <c r="D748" t="s">
        <v>2</v>
      </c>
      <c r="E748" t="s">
        <v>21</v>
      </c>
      <c r="F748">
        <v>0</v>
      </c>
      <c r="G748">
        <v>0</v>
      </c>
      <c r="H748">
        <v>0</v>
      </c>
      <c r="I748">
        <v>1</v>
      </c>
      <c r="J748">
        <v>1</v>
      </c>
      <c r="K748">
        <v>0.1</v>
      </c>
    </row>
    <row r="749" spans="1:11" x14ac:dyDescent="0.2">
      <c r="A749" t="s">
        <v>0</v>
      </c>
      <c r="B749">
        <v>100</v>
      </c>
      <c r="C749" t="s">
        <v>18</v>
      </c>
      <c r="D749" t="s">
        <v>2</v>
      </c>
      <c r="E749" t="s">
        <v>54</v>
      </c>
      <c r="F749">
        <v>0</v>
      </c>
      <c r="G749">
        <v>0</v>
      </c>
      <c r="H749">
        <v>0</v>
      </c>
      <c r="I749">
        <v>2</v>
      </c>
      <c r="J749">
        <v>2</v>
      </c>
      <c r="K749">
        <v>0.2</v>
      </c>
    </row>
    <row r="750" spans="1:11" x14ac:dyDescent="0.2">
      <c r="A750" t="s">
        <v>0</v>
      </c>
      <c r="B750">
        <v>100</v>
      </c>
      <c r="C750" t="s">
        <v>23</v>
      </c>
      <c r="D750" t="s">
        <v>33</v>
      </c>
      <c r="E750" t="s">
        <v>34</v>
      </c>
      <c r="F750">
        <v>0</v>
      </c>
      <c r="G750">
        <v>1</v>
      </c>
      <c r="H750">
        <v>1</v>
      </c>
      <c r="I750">
        <v>0</v>
      </c>
      <c r="J750">
        <v>2</v>
      </c>
      <c r="K750">
        <v>1.25</v>
      </c>
    </row>
    <row r="751" spans="1:11" x14ac:dyDescent="0.2">
      <c r="A751" t="s">
        <v>0</v>
      </c>
      <c r="B751">
        <v>101</v>
      </c>
      <c r="C751" t="s">
        <v>4</v>
      </c>
      <c r="D751" t="s">
        <v>2</v>
      </c>
      <c r="E751" t="s">
        <v>32</v>
      </c>
      <c r="F751">
        <v>0</v>
      </c>
      <c r="G751">
        <v>1</v>
      </c>
      <c r="H751">
        <v>0</v>
      </c>
      <c r="I751">
        <v>0</v>
      </c>
      <c r="J751">
        <v>1</v>
      </c>
      <c r="K751">
        <v>0.75</v>
      </c>
    </row>
    <row r="752" spans="1:11" x14ac:dyDescent="0.2">
      <c r="A752" t="s">
        <v>0</v>
      </c>
      <c r="B752">
        <v>101</v>
      </c>
      <c r="C752" t="s">
        <v>15</v>
      </c>
      <c r="D752" t="s">
        <v>2</v>
      </c>
      <c r="E752" t="s">
        <v>16</v>
      </c>
      <c r="F752">
        <v>0</v>
      </c>
      <c r="G752">
        <v>0</v>
      </c>
      <c r="H752">
        <v>2</v>
      </c>
      <c r="I752">
        <v>4</v>
      </c>
      <c r="J752">
        <v>6</v>
      </c>
      <c r="K752">
        <v>1.4</v>
      </c>
    </row>
    <row r="753" spans="1:11" x14ac:dyDescent="0.2">
      <c r="A753" t="s">
        <v>0</v>
      </c>
      <c r="B753">
        <v>101</v>
      </c>
      <c r="C753" t="s">
        <v>18</v>
      </c>
      <c r="D753" t="s">
        <v>6</v>
      </c>
      <c r="E753" t="s">
        <v>19</v>
      </c>
      <c r="F753">
        <v>0</v>
      </c>
      <c r="G753">
        <v>0</v>
      </c>
      <c r="H753">
        <v>3</v>
      </c>
      <c r="I753">
        <v>0</v>
      </c>
      <c r="J753">
        <v>3</v>
      </c>
      <c r="K753">
        <v>1.5</v>
      </c>
    </row>
    <row r="754" spans="1:11" x14ac:dyDescent="0.2">
      <c r="A754" t="s">
        <v>0</v>
      </c>
      <c r="B754">
        <v>101</v>
      </c>
      <c r="C754" t="s">
        <v>18</v>
      </c>
      <c r="D754" t="s">
        <v>6</v>
      </c>
      <c r="E754" t="s">
        <v>39</v>
      </c>
      <c r="F754">
        <v>0</v>
      </c>
      <c r="G754">
        <v>0</v>
      </c>
      <c r="H754">
        <v>0</v>
      </c>
      <c r="I754">
        <v>1</v>
      </c>
      <c r="J754">
        <v>1</v>
      </c>
      <c r="K754">
        <v>0.1</v>
      </c>
    </row>
    <row r="755" spans="1:11" x14ac:dyDescent="0.2">
      <c r="A755" t="s">
        <v>0</v>
      </c>
      <c r="B755">
        <v>101</v>
      </c>
      <c r="C755" t="s">
        <v>18</v>
      </c>
      <c r="D755" t="s">
        <v>2</v>
      </c>
      <c r="E755" t="s">
        <v>54</v>
      </c>
      <c r="F755">
        <v>0</v>
      </c>
      <c r="G755">
        <v>0</v>
      </c>
      <c r="H755">
        <v>0</v>
      </c>
      <c r="I755">
        <v>1</v>
      </c>
      <c r="J755">
        <v>1</v>
      </c>
      <c r="K755">
        <v>0.1</v>
      </c>
    </row>
    <row r="756" spans="1:11" x14ac:dyDescent="0.2">
      <c r="A756" t="s">
        <v>0</v>
      </c>
      <c r="B756">
        <v>101</v>
      </c>
      <c r="C756" t="s">
        <v>23</v>
      </c>
      <c r="D756" t="s">
        <v>33</v>
      </c>
      <c r="E756" t="s">
        <v>34</v>
      </c>
      <c r="F756">
        <v>0</v>
      </c>
      <c r="G756">
        <v>1</v>
      </c>
      <c r="H756">
        <v>0</v>
      </c>
      <c r="I756">
        <v>0</v>
      </c>
      <c r="J756">
        <v>1</v>
      </c>
      <c r="K756">
        <v>0.75</v>
      </c>
    </row>
    <row r="757" spans="1:11" x14ac:dyDescent="0.2">
      <c r="A757" t="s">
        <v>0</v>
      </c>
      <c r="B757">
        <v>101</v>
      </c>
      <c r="C757" t="s">
        <v>23</v>
      </c>
      <c r="D757" t="s">
        <v>33</v>
      </c>
      <c r="E757" t="s">
        <v>40</v>
      </c>
      <c r="F757">
        <v>0</v>
      </c>
      <c r="G757">
        <v>1</v>
      </c>
      <c r="H757">
        <v>0</v>
      </c>
      <c r="I757">
        <v>0</v>
      </c>
      <c r="J757">
        <v>1</v>
      </c>
      <c r="K757">
        <v>0.75</v>
      </c>
    </row>
    <row r="758" spans="1:11" x14ac:dyDescent="0.2">
      <c r="A758" t="s">
        <v>0</v>
      </c>
      <c r="B758">
        <v>102</v>
      </c>
      <c r="C758" t="s">
        <v>4</v>
      </c>
      <c r="D758" t="s">
        <v>6</v>
      </c>
      <c r="E758" t="s">
        <v>45</v>
      </c>
      <c r="F758">
        <v>0</v>
      </c>
      <c r="G758">
        <v>2</v>
      </c>
      <c r="H758">
        <v>0</v>
      </c>
      <c r="I758">
        <v>0</v>
      </c>
      <c r="J758">
        <v>2</v>
      </c>
      <c r="K758">
        <v>1.5</v>
      </c>
    </row>
    <row r="759" spans="1:11" x14ac:dyDescent="0.2">
      <c r="A759" t="s">
        <v>0</v>
      </c>
      <c r="B759">
        <v>102</v>
      </c>
      <c r="C759" t="s">
        <v>1</v>
      </c>
      <c r="D759" t="s">
        <v>33</v>
      </c>
      <c r="E759" t="s">
        <v>45</v>
      </c>
      <c r="F759">
        <v>0</v>
      </c>
      <c r="G759">
        <v>2</v>
      </c>
      <c r="H759">
        <v>0</v>
      </c>
      <c r="I759">
        <v>0</v>
      </c>
      <c r="J759">
        <v>2</v>
      </c>
      <c r="K759">
        <v>1.5</v>
      </c>
    </row>
    <row r="760" spans="1:11" x14ac:dyDescent="0.2">
      <c r="A760" t="s">
        <v>0</v>
      </c>
      <c r="B760">
        <v>102</v>
      </c>
      <c r="C760" t="s">
        <v>18</v>
      </c>
      <c r="D760" t="s">
        <v>2</v>
      </c>
      <c r="E760" t="s">
        <v>21</v>
      </c>
      <c r="F760">
        <v>0</v>
      </c>
      <c r="G760">
        <v>0</v>
      </c>
      <c r="H760">
        <v>0</v>
      </c>
      <c r="I760">
        <v>1</v>
      </c>
      <c r="J760">
        <v>1</v>
      </c>
      <c r="K760">
        <v>0.1</v>
      </c>
    </row>
    <row r="761" spans="1:11" x14ac:dyDescent="0.2">
      <c r="A761" t="s">
        <v>0</v>
      </c>
      <c r="B761">
        <v>103</v>
      </c>
      <c r="C761" t="s">
        <v>4</v>
      </c>
      <c r="D761" t="s">
        <v>6</v>
      </c>
      <c r="E761" t="s">
        <v>45</v>
      </c>
      <c r="F761">
        <v>0</v>
      </c>
      <c r="G761">
        <v>0</v>
      </c>
      <c r="H761">
        <v>1</v>
      </c>
      <c r="I761">
        <v>0</v>
      </c>
      <c r="J761">
        <v>1</v>
      </c>
      <c r="K761">
        <v>0.5</v>
      </c>
    </row>
    <row r="762" spans="1:11" x14ac:dyDescent="0.2">
      <c r="A762" t="s">
        <v>0</v>
      </c>
      <c r="B762">
        <v>103</v>
      </c>
      <c r="C762" t="s">
        <v>4</v>
      </c>
      <c r="D762" t="s">
        <v>2</v>
      </c>
      <c r="E762" t="s">
        <v>32</v>
      </c>
      <c r="F762">
        <v>0</v>
      </c>
      <c r="G762">
        <v>0</v>
      </c>
      <c r="H762">
        <v>0</v>
      </c>
      <c r="I762">
        <v>1</v>
      </c>
      <c r="J762">
        <v>1</v>
      </c>
      <c r="K762">
        <v>0.1</v>
      </c>
    </row>
    <row r="763" spans="1:11" x14ac:dyDescent="0.2">
      <c r="A763" t="s">
        <v>0</v>
      </c>
      <c r="B763">
        <v>103</v>
      </c>
      <c r="C763" t="s">
        <v>11</v>
      </c>
      <c r="D763" t="s">
        <v>2</v>
      </c>
      <c r="E763" t="s">
        <v>66</v>
      </c>
      <c r="F763">
        <v>0</v>
      </c>
      <c r="G763">
        <v>0</v>
      </c>
      <c r="H763">
        <v>0</v>
      </c>
      <c r="I763">
        <v>1</v>
      </c>
      <c r="J763">
        <v>1</v>
      </c>
      <c r="K763">
        <v>0.1</v>
      </c>
    </row>
    <row r="764" spans="1:11" x14ac:dyDescent="0.2">
      <c r="A764" t="s">
        <v>0</v>
      </c>
      <c r="B764">
        <v>103</v>
      </c>
      <c r="C764" t="s">
        <v>1</v>
      </c>
      <c r="D764" t="s">
        <v>33</v>
      </c>
      <c r="E764" t="s">
        <v>45</v>
      </c>
      <c r="F764">
        <v>0</v>
      </c>
      <c r="G764">
        <v>0</v>
      </c>
      <c r="H764">
        <v>1</v>
      </c>
      <c r="I764">
        <v>0</v>
      </c>
      <c r="J764">
        <v>1</v>
      </c>
      <c r="K764">
        <v>0.5</v>
      </c>
    </row>
    <row r="765" spans="1:11" x14ac:dyDescent="0.2">
      <c r="A765" t="s">
        <v>0</v>
      </c>
      <c r="B765">
        <v>103</v>
      </c>
      <c r="C765" t="s">
        <v>15</v>
      </c>
      <c r="D765" t="s">
        <v>2</v>
      </c>
      <c r="E765" t="s">
        <v>66</v>
      </c>
      <c r="F765">
        <v>0</v>
      </c>
      <c r="G765">
        <v>0</v>
      </c>
      <c r="H765">
        <v>0</v>
      </c>
      <c r="I765">
        <v>1</v>
      </c>
      <c r="J765">
        <v>1</v>
      </c>
      <c r="K765">
        <v>0.1</v>
      </c>
    </row>
    <row r="766" spans="1:11" x14ac:dyDescent="0.2">
      <c r="A766" t="s">
        <v>0</v>
      </c>
      <c r="B766">
        <v>103</v>
      </c>
      <c r="C766" t="s">
        <v>18</v>
      </c>
      <c r="D766" t="s">
        <v>2</v>
      </c>
      <c r="E766" t="s">
        <v>21</v>
      </c>
      <c r="F766">
        <v>0</v>
      </c>
      <c r="G766">
        <v>0</v>
      </c>
      <c r="H766">
        <v>0</v>
      </c>
      <c r="I766">
        <v>1</v>
      </c>
      <c r="J766">
        <v>1</v>
      </c>
      <c r="K766">
        <v>0.1</v>
      </c>
    </row>
    <row r="767" spans="1:11" x14ac:dyDescent="0.2">
      <c r="A767" t="s">
        <v>0</v>
      </c>
      <c r="B767">
        <v>103</v>
      </c>
      <c r="C767" t="s">
        <v>23</v>
      </c>
      <c r="D767" t="s">
        <v>33</v>
      </c>
      <c r="E767" t="s">
        <v>34</v>
      </c>
      <c r="F767">
        <v>0</v>
      </c>
      <c r="G767">
        <v>0</v>
      </c>
      <c r="H767">
        <v>0</v>
      </c>
      <c r="I767">
        <v>1</v>
      </c>
      <c r="J767">
        <v>1</v>
      </c>
      <c r="K767">
        <v>0.1</v>
      </c>
    </row>
    <row r="768" spans="1:11" x14ac:dyDescent="0.2">
      <c r="A768" t="s">
        <v>0</v>
      </c>
      <c r="B768">
        <v>103</v>
      </c>
      <c r="C768" t="s">
        <v>23</v>
      </c>
      <c r="D768" t="s">
        <v>33</v>
      </c>
      <c r="E768" t="s">
        <v>40</v>
      </c>
      <c r="F768">
        <v>0</v>
      </c>
      <c r="G768">
        <v>0</v>
      </c>
      <c r="H768">
        <v>2</v>
      </c>
      <c r="I768">
        <v>0</v>
      </c>
      <c r="J768">
        <v>2</v>
      </c>
      <c r="K768">
        <v>1</v>
      </c>
    </row>
    <row r="769" spans="1:11" x14ac:dyDescent="0.2">
      <c r="A769" t="s">
        <v>0</v>
      </c>
      <c r="B769">
        <v>104</v>
      </c>
      <c r="C769" t="s">
        <v>4</v>
      </c>
      <c r="D769" t="s">
        <v>33</v>
      </c>
      <c r="E769" t="s">
        <v>36</v>
      </c>
      <c r="F769">
        <v>0</v>
      </c>
      <c r="G769">
        <v>0</v>
      </c>
      <c r="H769">
        <v>1</v>
      </c>
      <c r="I769">
        <v>0</v>
      </c>
      <c r="J769">
        <v>1</v>
      </c>
      <c r="K769">
        <v>0.6</v>
      </c>
    </row>
    <row r="770" spans="1:11" x14ac:dyDescent="0.2">
      <c r="A770" t="s">
        <v>0</v>
      </c>
      <c r="B770">
        <v>104</v>
      </c>
      <c r="C770" t="s">
        <v>4</v>
      </c>
      <c r="D770" t="s">
        <v>6</v>
      </c>
      <c r="E770" t="s">
        <v>45</v>
      </c>
      <c r="F770">
        <v>0</v>
      </c>
      <c r="G770">
        <v>0</v>
      </c>
      <c r="H770">
        <v>0</v>
      </c>
      <c r="I770">
        <v>1</v>
      </c>
      <c r="J770">
        <v>1</v>
      </c>
      <c r="K770">
        <v>0.1</v>
      </c>
    </row>
    <row r="771" spans="1:11" x14ac:dyDescent="0.2">
      <c r="A771" t="s">
        <v>0</v>
      </c>
      <c r="B771">
        <v>104</v>
      </c>
      <c r="C771" t="s">
        <v>4</v>
      </c>
      <c r="D771" t="s">
        <v>2</v>
      </c>
      <c r="E771" t="s">
        <v>7</v>
      </c>
      <c r="F771">
        <v>0</v>
      </c>
      <c r="G771">
        <v>1</v>
      </c>
      <c r="H771">
        <v>0</v>
      </c>
      <c r="I771">
        <v>0</v>
      </c>
      <c r="J771">
        <v>1</v>
      </c>
      <c r="K771">
        <v>0.75</v>
      </c>
    </row>
    <row r="772" spans="1:11" x14ac:dyDescent="0.2">
      <c r="A772" t="s">
        <v>0</v>
      </c>
      <c r="B772">
        <v>104</v>
      </c>
      <c r="C772" t="s">
        <v>4</v>
      </c>
      <c r="D772" t="s">
        <v>2</v>
      </c>
      <c r="E772" t="s">
        <v>32</v>
      </c>
      <c r="F772">
        <v>0</v>
      </c>
      <c r="G772">
        <v>2</v>
      </c>
      <c r="H772">
        <v>0</v>
      </c>
      <c r="I772">
        <v>0</v>
      </c>
      <c r="J772">
        <v>2</v>
      </c>
      <c r="K772">
        <v>1.5</v>
      </c>
    </row>
    <row r="773" spans="1:11" x14ac:dyDescent="0.2">
      <c r="A773" t="s">
        <v>0</v>
      </c>
      <c r="B773">
        <v>104</v>
      </c>
      <c r="C773" t="s">
        <v>1</v>
      </c>
      <c r="D773" t="s">
        <v>33</v>
      </c>
      <c r="E773" t="s">
        <v>45</v>
      </c>
      <c r="F773">
        <v>0</v>
      </c>
      <c r="G773">
        <v>0</v>
      </c>
      <c r="H773">
        <v>0</v>
      </c>
      <c r="I773">
        <v>1</v>
      </c>
      <c r="J773">
        <v>1</v>
      </c>
      <c r="K773">
        <v>0.1</v>
      </c>
    </row>
    <row r="774" spans="1:11" x14ac:dyDescent="0.2">
      <c r="A774" t="s">
        <v>0</v>
      </c>
      <c r="B774">
        <v>104</v>
      </c>
      <c r="C774" t="s">
        <v>15</v>
      </c>
      <c r="D774" t="s">
        <v>2</v>
      </c>
      <c r="E774" t="s">
        <v>16</v>
      </c>
      <c r="F774">
        <v>0</v>
      </c>
      <c r="G774">
        <v>0</v>
      </c>
      <c r="H774">
        <v>0</v>
      </c>
      <c r="I774">
        <v>2</v>
      </c>
      <c r="J774">
        <v>2</v>
      </c>
      <c r="K774">
        <v>0.2</v>
      </c>
    </row>
    <row r="775" spans="1:11" x14ac:dyDescent="0.2">
      <c r="A775" t="s">
        <v>0</v>
      </c>
      <c r="B775">
        <v>104</v>
      </c>
      <c r="C775" t="s">
        <v>18</v>
      </c>
      <c r="D775" t="s">
        <v>2</v>
      </c>
      <c r="E775" t="s">
        <v>21</v>
      </c>
      <c r="F775">
        <v>0</v>
      </c>
      <c r="G775">
        <v>0</v>
      </c>
      <c r="H775">
        <v>0</v>
      </c>
      <c r="I775">
        <v>1</v>
      </c>
      <c r="J775">
        <v>1</v>
      </c>
      <c r="K775">
        <v>0.1</v>
      </c>
    </row>
    <row r="776" spans="1:11" x14ac:dyDescent="0.2">
      <c r="A776" t="s">
        <v>0</v>
      </c>
      <c r="B776">
        <v>104</v>
      </c>
      <c r="C776" t="s">
        <v>23</v>
      </c>
      <c r="D776" t="s">
        <v>33</v>
      </c>
      <c r="E776" t="s">
        <v>34</v>
      </c>
      <c r="F776">
        <v>0</v>
      </c>
      <c r="G776">
        <v>2</v>
      </c>
      <c r="H776">
        <v>0</v>
      </c>
      <c r="I776">
        <v>0</v>
      </c>
      <c r="J776">
        <v>2</v>
      </c>
      <c r="K776">
        <v>1.5</v>
      </c>
    </row>
    <row r="777" spans="1:11" x14ac:dyDescent="0.2">
      <c r="A777" t="s">
        <v>0</v>
      </c>
      <c r="B777">
        <v>104</v>
      </c>
      <c r="C777" t="s">
        <v>23</v>
      </c>
      <c r="D777" t="s">
        <v>33</v>
      </c>
      <c r="E777" t="s">
        <v>40</v>
      </c>
      <c r="F777">
        <v>0</v>
      </c>
      <c r="G777">
        <v>1</v>
      </c>
      <c r="H777">
        <v>0</v>
      </c>
      <c r="I777">
        <v>0</v>
      </c>
      <c r="J777">
        <v>1</v>
      </c>
      <c r="K777">
        <v>0.75</v>
      </c>
    </row>
    <row r="778" spans="1:11" x14ac:dyDescent="0.2">
      <c r="A778" t="s">
        <v>0</v>
      </c>
      <c r="B778">
        <v>105</v>
      </c>
      <c r="C778" t="s">
        <v>4</v>
      </c>
      <c r="D778" t="s">
        <v>6</v>
      </c>
      <c r="E778" t="s">
        <v>59</v>
      </c>
      <c r="F778">
        <v>0</v>
      </c>
      <c r="G778">
        <v>0</v>
      </c>
      <c r="H778">
        <v>1</v>
      </c>
      <c r="I778">
        <v>0</v>
      </c>
      <c r="J778">
        <v>1</v>
      </c>
      <c r="K778">
        <v>0.5</v>
      </c>
    </row>
    <row r="779" spans="1:11" x14ac:dyDescent="0.2">
      <c r="A779" t="s">
        <v>0</v>
      </c>
      <c r="B779">
        <v>105</v>
      </c>
      <c r="C779" t="s">
        <v>4</v>
      </c>
      <c r="D779" t="s">
        <v>2</v>
      </c>
      <c r="E779" t="s">
        <v>32</v>
      </c>
      <c r="F779">
        <v>0</v>
      </c>
      <c r="G779">
        <v>1</v>
      </c>
      <c r="H779">
        <v>0</v>
      </c>
      <c r="I779">
        <v>1</v>
      </c>
      <c r="J779">
        <v>2</v>
      </c>
      <c r="K779">
        <v>0.85</v>
      </c>
    </row>
    <row r="780" spans="1:11" x14ac:dyDescent="0.2">
      <c r="A780" t="s">
        <v>0</v>
      </c>
      <c r="B780">
        <v>105</v>
      </c>
      <c r="C780" t="s">
        <v>18</v>
      </c>
      <c r="D780" t="s">
        <v>2</v>
      </c>
      <c r="E780" t="s">
        <v>21</v>
      </c>
      <c r="F780">
        <v>0</v>
      </c>
      <c r="G780">
        <v>0</v>
      </c>
      <c r="H780">
        <v>0</v>
      </c>
      <c r="I780">
        <v>1</v>
      </c>
      <c r="J780">
        <v>1</v>
      </c>
      <c r="K780">
        <v>0.1</v>
      </c>
    </row>
    <row r="781" spans="1:11" x14ac:dyDescent="0.2">
      <c r="A781" t="s">
        <v>0</v>
      </c>
      <c r="B781">
        <v>105</v>
      </c>
      <c r="C781" t="s">
        <v>23</v>
      </c>
      <c r="D781" t="s">
        <v>2</v>
      </c>
      <c r="E781" t="s">
        <v>59</v>
      </c>
      <c r="F781">
        <v>0</v>
      </c>
      <c r="G781">
        <v>0</v>
      </c>
      <c r="H781">
        <v>1</v>
      </c>
      <c r="I781">
        <v>0</v>
      </c>
      <c r="J781">
        <v>1</v>
      </c>
      <c r="K781">
        <v>0.5</v>
      </c>
    </row>
    <row r="782" spans="1:11" x14ac:dyDescent="0.2">
      <c r="A782" t="s">
        <v>0</v>
      </c>
      <c r="B782">
        <v>105</v>
      </c>
      <c r="C782" t="s">
        <v>23</v>
      </c>
      <c r="D782" t="s">
        <v>6</v>
      </c>
      <c r="E782" t="s">
        <v>59</v>
      </c>
      <c r="F782">
        <v>0</v>
      </c>
      <c r="G782">
        <v>0</v>
      </c>
      <c r="H782">
        <v>1</v>
      </c>
      <c r="I782">
        <v>0</v>
      </c>
      <c r="J782">
        <v>1</v>
      </c>
      <c r="K782">
        <v>0.5</v>
      </c>
    </row>
    <row r="783" spans="1:11" x14ac:dyDescent="0.2">
      <c r="A783" t="s">
        <v>0</v>
      </c>
      <c r="B783">
        <v>105</v>
      </c>
      <c r="C783" t="s">
        <v>23</v>
      </c>
      <c r="D783" t="s">
        <v>33</v>
      </c>
      <c r="E783" t="s">
        <v>34</v>
      </c>
      <c r="F783">
        <v>0</v>
      </c>
      <c r="G783">
        <v>1</v>
      </c>
      <c r="H783">
        <v>0</v>
      </c>
      <c r="I783">
        <v>1</v>
      </c>
      <c r="J783">
        <v>2</v>
      </c>
      <c r="K783">
        <v>0.85</v>
      </c>
    </row>
    <row r="784" spans="1:11" x14ac:dyDescent="0.2">
      <c r="A784" t="s">
        <v>0</v>
      </c>
      <c r="B784">
        <v>105</v>
      </c>
      <c r="C784" t="s">
        <v>23</v>
      </c>
      <c r="D784" t="s">
        <v>2</v>
      </c>
      <c r="E784" t="s">
        <v>56</v>
      </c>
      <c r="F784">
        <v>1</v>
      </c>
      <c r="G784">
        <v>0</v>
      </c>
      <c r="H784">
        <v>0</v>
      </c>
      <c r="I784">
        <v>0</v>
      </c>
      <c r="J784">
        <v>1</v>
      </c>
      <c r="K784">
        <v>1</v>
      </c>
    </row>
    <row r="785" spans="1:11" x14ac:dyDescent="0.2">
      <c r="A785" t="s">
        <v>0</v>
      </c>
      <c r="B785">
        <v>105</v>
      </c>
      <c r="C785" t="s">
        <v>27</v>
      </c>
      <c r="D785" t="s">
        <v>6</v>
      </c>
      <c r="E785" t="s">
        <v>55</v>
      </c>
      <c r="F785">
        <v>0</v>
      </c>
      <c r="G785">
        <v>0</v>
      </c>
      <c r="H785">
        <v>1</v>
      </c>
      <c r="I785">
        <v>0</v>
      </c>
      <c r="J785">
        <v>1</v>
      </c>
      <c r="K785">
        <v>0.5</v>
      </c>
    </row>
    <row r="786" spans="1:11" x14ac:dyDescent="0.2">
      <c r="A786" t="s">
        <v>0</v>
      </c>
      <c r="B786">
        <v>106</v>
      </c>
      <c r="C786" t="s">
        <v>4</v>
      </c>
      <c r="D786" t="s">
        <v>2</v>
      </c>
      <c r="E786" t="s">
        <v>9</v>
      </c>
      <c r="F786">
        <v>0</v>
      </c>
      <c r="G786">
        <v>0</v>
      </c>
      <c r="H786">
        <v>1</v>
      </c>
      <c r="I786">
        <v>0</v>
      </c>
      <c r="J786">
        <v>1</v>
      </c>
      <c r="K786">
        <v>0.5</v>
      </c>
    </row>
    <row r="787" spans="1:11" x14ac:dyDescent="0.2">
      <c r="A787" t="s">
        <v>0</v>
      </c>
      <c r="B787">
        <v>106</v>
      </c>
      <c r="C787" t="s">
        <v>4</v>
      </c>
      <c r="D787" t="s">
        <v>33</v>
      </c>
      <c r="E787" t="s">
        <v>44</v>
      </c>
      <c r="F787">
        <v>0</v>
      </c>
      <c r="G787">
        <v>1</v>
      </c>
      <c r="H787">
        <v>1</v>
      </c>
      <c r="I787">
        <v>0</v>
      </c>
      <c r="J787">
        <v>2</v>
      </c>
      <c r="K787">
        <v>1.25</v>
      </c>
    </row>
    <row r="788" spans="1:11" x14ac:dyDescent="0.2">
      <c r="A788" t="s">
        <v>0</v>
      </c>
      <c r="B788">
        <v>106</v>
      </c>
      <c r="C788" t="s">
        <v>1</v>
      </c>
      <c r="D788" t="s">
        <v>6</v>
      </c>
      <c r="E788" t="s">
        <v>44</v>
      </c>
      <c r="F788">
        <v>0</v>
      </c>
      <c r="G788">
        <v>1</v>
      </c>
      <c r="H788">
        <v>1</v>
      </c>
      <c r="I788">
        <v>0</v>
      </c>
      <c r="J788">
        <v>2</v>
      </c>
      <c r="K788">
        <v>1.25</v>
      </c>
    </row>
    <row r="789" spans="1:11" x14ac:dyDescent="0.2">
      <c r="A789" t="s">
        <v>0</v>
      </c>
      <c r="B789">
        <v>106</v>
      </c>
      <c r="C789" t="s">
        <v>23</v>
      </c>
      <c r="D789" t="s">
        <v>6</v>
      </c>
      <c r="E789" t="s">
        <v>44</v>
      </c>
      <c r="F789">
        <v>0</v>
      </c>
      <c r="G789">
        <v>1</v>
      </c>
      <c r="H789">
        <v>1</v>
      </c>
      <c r="I789">
        <v>0</v>
      </c>
      <c r="J789">
        <v>2</v>
      </c>
      <c r="K789">
        <v>1.25</v>
      </c>
    </row>
    <row r="790" spans="1:11" x14ac:dyDescent="0.2">
      <c r="A790" t="s">
        <v>0</v>
      </c>
      <c r="B790">
        <v>106</v>
      </c>
      <c r="C790" t="s">
        <v>27</v>
      </c>
      <c r="D790" t="s">
        <v>2</v>
      </c>
      <c r="E790" t="s">
        <v>31</v>
      </c>
      <c r="F790">
        <v>1</v>
      </c>
      <c r="G790">
        <v>0</v>
      </c>
      <c r="H790">
        <v>0</v>
      </c>
      <c r="I790">
        <v>0</v>
      </c>
      <c r="J790">
        <v>1</v>
      </c>
      <c r="K790">
        <v>1</v>
      </c>
    </row>
    <row r="791" spans="1:11" x14ac:dyDescent="0.2">
      <c r="A791" t="s">
        <v>0</v>
      </c>
      <c r="B791">
        <v>106</v>
      </c>
      <c r="C791" t="s">
        <v>27</v>
      </c>
      <c r="D791" t="s">
        <v>2</v>
      </c>
      <c r="E791" t="s">
        <v>42</v>
      </c>
      <c r="F791">
        <v>0</v>
      </c>
      <c r="G791">
        <v>0</v>
      </c>
      <c r="H791">
        <v>2</v>
      </c>
      <c r="I791">
        <v>0</v>
      </c>
      <c r="J791">
        <v>2</v>
      </c>
      <c r="K791">
        <v>1</v>
      </c>
    </row>
    <row r="792" spans="1:11" x14ac:dyDescent="0.2">
      <c r="A792" t="s">
        <v>0</v>
      </c>
      <c r="B792">
        <v>107</v>
      </c>
      <c r="C792" t="s">
        <v>4</v>
      </c>
      <c r="D792" t="s">
        <v>6</v>
      </c>
      <c r="E792" t="s">
        <v>10</v>
      </c>
      <c r="F792">
        <v>0</v>
      </c>
      <c r="G792">
        <v>1</v>
      </c>
      <c r="H792">
        <v>3</v>
      </c>
      <c r="I792">
        <v>0</v>
      </c>
      <c r="J792">
        <v>4</v>
      </c>
      <c r="K792">
        <v>2.25</v>
      </c>
    </row>
    <row r="793" spans="1:11" x14ac:dyDescent="0.2">
      <c r="A793" t="s">
        <v>0</v>
      </c>
      <c r="B793">
        <v>107</v>
      </c>
      <c r="C793" t="s">
        <v>15</v>
      </c>
      <c r="D793" t="s">
        <v>2</v>
      </c>
      <c r="E793" t="s">
        <v>16</v>
      </c>
      <c r="F793">
        <v>0</v>
      </c>
      <c r="G793">
        <v>2</v>
      </c>
      <c r="H793">
        <v>0</v>
      </c>
      <c r="I793">
        <v>0</v>
      </c>
      <c r="J793">
        <v>2</v>
      </c>
      <c r="K793">
        <v>1.5</v>
      </c>
    </row>
    <row r="794" spans="1:11" x14ac:dyDescent="0.2">
      <c r="A794" t="s">
        <v>0</v>
      </c>
      <c r="B794">
        <v>107</v>
      </c>
      <c r="C794" t="s">
        <v>18</v>
      </c>
      <c r="D794" t="s">
        <v>6</v>
      </c>
      <c r="E794" t="s">
        <v>19</v>
      </c>
      <c r="F794">
        <v>2</v>
      </c>
      <c r="G794">
        <v>0</v>
      </c>
      <c r="H794">
        <v>0</v>
      </c>
      <c r="I794">
        <v>0</v>
      </c>
      <c r="J794">
        <v>2</v>
      </c>
      <c r="K794">
        <v>2</v>
      </c>
    </row>
    <row r="795" spans="1:11" x14ac:dyDescent="0.2">
      <c r="A795" t="s">
        <v>0</v>
      </c>
      <c r="B795">
        <v>107</v>
      </c>
      <c r="C795" t="s">
        <v>23</v>
      </c>
      <c r="D795" t="s">
        <v>2</v>
      </c>
      <c r="E795" t="s">
        <v>10</v>
      </c>
      <c r="F795">
        <v>0</v>
      </c>
      <c r="G795">
        <v>1</v>
      </c>
      <c r="H795">
        <v>3</v>
      </c>
      <c r="I795">
        <v>0</v>
      </c>
      <c r="J795">
        <v>4</v>
      </c>
      <c r="K795">
        <v>2.25</v>
      </c>
    </row>
    <row r="796" spans="1:11" x14ac:dyDescent="0.2">
      <c r="A796" t="s">
        <v>0</v>
      </c>
      <c r="B796">
        <v>107</v>
      </c>
      <c r="C796" t="s">
        <v>23</v>
      </c>
      <c r="D796" t="s">
        <v>6</v>
      </c>
      <c r="E796" t="s">
        <v>25</v>
      </c>
      <c r="F796">
        <v>0</v>
      </c>
      <c r="G796">
        <v>1</v>
      </c>
      <c r="H796">
        <v>3</v>
      </c>
      <c r="I796">
        <v>0</v>
      </c>
      <c r="J796">
        <v>4</v>
      </c>
      <c r="K796">
        <v>2.25</v>
      </c>
    </row>
    <row r="797" spans="1:11" x14ac:dyDescent="0.2">
      <c r="A797" t="s">
        <v>0</v>
      </c>
      <c r="B797">
        <v>108</v>
      </c>
      <c r="C797" t="s">
        <v>4</v>
      </c>
      <c r="D797" t="s">
        <v>33</v>
      </c>
      <c r="E797" t="s">
        <v>36</v>
      </c>
      <c r="F797">
        <v>0</v>
      </c>
      <c r="G797">
        <v>1</v>
      </c>
      <c r="H797">
        <v>0</v>
      </c>
      <c r="I797">
        <v>0</v>
      </c>
      <c r="J797">
        <v>1</v>
      </c>
      <c r="K797">
        <v>0.75</v>
      </c>
    </row>
    <row r="798" spans="1:11" x14ac:dyDescent="0.2">
      <c r="A798" t="s">
        <v>0</v>
      </c>
      <c r="B798">
        <v>109</v>
      </c>
      <c r="C798" t="s">
        <v>4</v>
      </c>
      <c r="D798" t="s">
        <v>6</v>
      </c>
      <c r="E798" t="s">
        <v>45</v>
      </c>
      <c r="F798">
        <v>0</v>
      </c>
      <c r="G798">
        <v>0</v>
      </c>
      <c r="H798">
        <v>0</v>
      </c>
      <c r="I798">
        <v>1</v>
      </c>
      <c r="J798">
        <v>1</v>
      </c>
      <c r="K798">
        <v>0.1</v>
      </c>
    </row>
    <row r="799" spans="1:11" x14ac:dyDescent="0.2">
      <c r="A799" t="s">
        <v>0</v>
      </c>
      <c r="B799">
        <v>109</v>
      </c>
      <c r="C799" t="s">
        <v>4</v>
      </c>
      <c r="D799" t="s">
        <v>2</v>
      </c>
      <c r="E799" t="s">
        <v>7</v>
      </c>
      <c r="F799">
        <v>0</v>
      </c>
      <c r="G799">
        <v>1</v>
      </c>
      <c r="H799">
        <v>0</v>
      </c>
      <c r="I799">
        <v>0</v>
      </c>
      <c r="J799">
        <v>1</v>
      </c>
      <c r="K799">
        <v>0.75</v>
      </c>
    </row>
    <row r="800" spans="1:11" x14ac:dyDescent="0.2">
      <c r="A800" t="s">
        <v>0</v>
      </c>
      <c r="B800">
        <v>109</v>
      </c>
      <c r="C800" t="s">
        <v>4</v>
      </c>
      <c r="D800" t="s">
        <v>2</v>
      </c>
      <c r="E800" t="s">
        <v>32</v>
      </c>
      <c r="F800">
        <v>0</v>
      </c>
      <c r="G800">
        <v>2</v>
      </c>
      <c r="H800">
        <v>0</v>
      </c>
      <c r="I800">
        <v>0</v>
      </c>
      <c r="J800">
        <v>2</v>
      </c>
      <c r="K800">
        <v>1.5</v>
      </c>
    </row>
    <row r="801" spans="1:11" x14ac:dyDescent="0.2">
      <c r="A801" t="s">
        <v>0</v>
      </c>
      <c r="B801">
        <v>109</v>
      </c>
      <c r="C801" t="s">
        <v>1</v>
      </c>
      <c r="D801" t="s">
        <v>33</v>
      </c>
      <c r="E801" t="s">
        <v>45</v>
      </c>
      <c r="F801">
        <v>0</v>
      </c>
      <c r="G801">
        <v>0</v>
      </c>
      <c r="H801">
        <v>0</v>
      </c>
      <c r="I801">
        <v>1</v>
      </c>
      <c r="J801">
        <v>1</v>
      </c>
      <c r="K801">
        <v>0.1</v>
      </c>
    </row>
    <row r="802" spans="1:11" x14ac:dyDescent="0.2">
      <c r="A802" t="s">
        <v>0</v>
      </c>
      <c r="B802">
        <v>109</v>
      </c>
      <c r="C802" t="s">
        <v>23</v>
      </c>
      <c r="D802" t="s">
        <v>33</v>
      </c>
      <c r="E802" t="s">
        <v>34</v>
      </c>
      <c r="F802">
        <v>0</v>
      </c>
      <c r="G802">
        <v>2</v>
      </c>
      <c r="H802">
        <v>0</v>
      </c>
      <c r="I802">
        <v>0</v>
      </c>
      <c r="J802">
        <v>2</v>
      </c>
      <c r="K802">
        <v>1.5</v>
      </c>
    </row>
    <row r="803" spans="1:11" x14ac:dyDescent="0.2">
      <c r="A803" t="s">
        <v>0</v>
      </c>
      <c r="B803">
        <v>109</v>
      </c>
      <c r="C803" t="s">
        <v>23</v>
      </c>
      <c r="D803" t="s">
        <v>2</v>
      </c>
      <c r="E803" t="s">
        <v>35</v>
      </c>
      <c r="F803">
        <v>0</v>
      </c>
      <c r="G803">
        <v>0</v>
      </c>
      <c r="H803">
        <v>0</v>
      </c>
      <c r="I803">
        <v>1</v>
      </c>
      <c r="J803">
        <v>1</v>
      </c>
      <c r="K803">
        <v>0.1</v>
      </c>
    </row>
    <row r="804" spans="1:11" x14ac:dyDescent="0.2">
      <c r="A804" t="s">
        <v>0</v>
      </c>
      <c r="B804">
        <v>110</v>
      </c>
      <c r="C804" t="s">
        <v>4</v>
      </c>
      <c r="D804" t="s">
        <v>6</v>
      </c>
      <c r="E804" t="s">
        <v>45</v>
      </c>
      <c r="F804">
        <v>0</v>
      </c>
      <c r="G804">
        <v>11</v>
      </c>
      <c r="H804">
        <v>1</v>
      </c>
      <c r="I804">
        <v>0</v>
      </c>
      <c r="J804">
        <v>12</v>
      </c>
      <c r="K804">
        <v>8.75</v>
      </c>
    </row>
    <row r="805" spans="1:11" x14ac:dyDescent="0.2">
      <c r="A805" t="s">
        <v>0</v>
      </c>
      <c r="B805">
        <v>110</v>
      </c>
      <c r="C805" t="s">
        <v>4</v>
      </c>
      <c r="D805" t="s">
        <v>6</v>
      </c>
      <c r="E805" t="s">
        <v>10</v>
      </c>
      <c r="F805">
        <v>0</v>
      </c>
      <c r="G805">
        <v>0</v>
      </c>
      <c r="H805">
        <v>7</v>
      </c>
      <c r="I805">
        <v>2</v>
      </c>
      <c r="J805">
        <v>9</v>
      </c>
      <c r="K805">
        <v>3.7</v>
      </c>
    </row>
    <row r="806" spans="1:11" x14ac:dyDescent="0.2">
      <c r="A806" t="s">
        <v>0</v>
      </c>
      <c r="B806">
        <v>110</v>
      </c>
      <c r="C806" t="s">
        <v>1</v>
      </c>
      <c r="D806" t="s">
        <v>33</v>
      </c>
      <c r="E806" t="s">
        <v>45</v>
      </c>
      <c r="F806">
        <v>0</v>
      </c>
      <c r="G806">
        <v>11</v>
      </c>
      <c r="H806">
        <v>1</v>
      </c>
      <c r="I806">
        <v>0</v>
      </c>
      <c r="J806">
        <v>12</v>
      </c>
      <c r="K806">
        <v>8.75</v>
      </c>
    </row>
    <row r="807" spans="1:11" x14ac:dyDescent="0.2">
      <c r="A807" t="s">
        <v>0</v>
      </c>
      <c r="B807">
        <v>110</v>
      </c>
      <c r="C807" t="s">
        <v>23</v>
      </c>
      <c r="D807" t="s">
        <v>2</v>
      </c>
      <c r="E807" t="s">
        <v>10</v>
      </c>
      <c r="F807">
        <v>0</v>
      </c>
      <c r="G807">
        <v>0</v>
      </c>
      <c r="H807">
        <v>7</v>
      </c>
      <c r="I807">
        <v>2</v>
      </c>
      <c r="J807">
        <v>9</v>
      </c>
      <c r="K807">
        <v>3.7</v>
      </c>
    </row>
    <row r="808" spans="1:11" x14ac:dyDescent="0.2">
      <c r="A808" t="s">
        <v>0</v>
      </c>
      <c r="B808">
        <v>110</v>
      </c>
      <c r="C808" t="s">
        <v>23</v>
      </c>
      <c r="D808" t="s">
        <v>6</v>
      </c>
      <c r="E808" t="s">
        <v>25</v>
      </c>
      <c r="F808">
        <v>0</v>
      </c>
      <c r="G808">
        <v>0</v>
      </c>
      <c r="H808">
        <v>7</v>
      </c>
      <c r="I808">
        <v>2</v>
      </c>
      <c r="J808">
        <v>9</v>
      </c>
      <c r="K808">
        <v>3.7</v>
      </c>
    </row>
    <row r="809" spans="1:11" x14ac:dyDescent="0.2">
      <c r="A809" t="s">
        <v>0</v>
      </c>
      <c r="B809">
        <v>110</v>
      </c>
      <c r="C809" t="s">
        <v>27</v>
      </c>
      <c r="D809" t="s">
        <v>2</v>
      </c>
      <c r="E809" t="s">
        <v>87</v>
      </c>
      <c r="F809">
        <v>0</v>
      </c>
      <c r="G809">
        <v>1</v>
      </c>
      <c r="H809">
        <v>0</v>
      </c>
      <c r="I809">
        <v>0</v>
      </c>
      <c r="J809">
        <v>1</v>
      </c>
      <c r="K809">
        <v>0.75</v>
      </c>
    </row>
    <row r="810" spans="1:11" x14ac:dyDescent="0.2">
      <c r="A810" t="s">
        <v>0</v>
      </c>
      <c r="B810">
        <v>111</v>
      </c>
      <c r="C810" t="s">
        <v>4</v>
      </c>
      <c r="D810" t="s">
        <v>2</v>
      </c>
      <c r="E810" t="s">
        <v>32</v>
      </c>
      <c r="F810">
        <v>0</v>
      </c>
      <c r="G810">
        <v>1</v>
      </c>
      <c r="H810">
        <v>0</v>
      </c>
      <c r="I810">
        <v>0</v>
      </c>
      <c r="J810">
        <v>1</v>
      </c>
      <c r="K810">
        <v>0.75</v>
      </c>
    </row>
    <row r="811" spans="1:11" x14ac:dyDescent="0.2">
      <c r="A811" t="s">
        <v>0</v>
      </c>
      <c r="B811">
        <v>111</v>
      </c>
      <c r="C811" t="s">
        <v>18</v>
      </c>
      <c r="D811" t="s">
        <v>2</v>
      </c>
      <c r="E811" t="s">
        <v>54</v>
      </c>
      <c r="F811">
        <v>0</v>
      </c>
      <c r="G811">
        <v>0</v>
      </c>
      <c r="H811">
        <v>0</v>
      </c>
      <c r="I811">
        <v>1</v>
      </c>
      <c r="J811">
        <v>1</v>
      </c>
      <c r="K811">
        <v>0.1</v>
      </c>
    </row>
    <row r="812" spans="1:11" x14ac:dyDescent="0.2">
      <c r="A812" t="s">
        <v>0</v>
      </c>
      <c r="B812">
        <v>111</v>
      </c>
      <c r="C812" t="s">
        <v>23</v>
      </c>
      <c r="D812" t="s">
        <v>33</v>
      </c>
      <c r="E812" t="s">
        <v>34</v>
      </c>
      <c r="F812">
        <v>0</v>
      </c>
      <c r="G812">
        <v>1</v>
      </c>
      <c r="H812">
        <v>0</v>
      </c>
      <c r="I812">
        <v>0</v>
      </c>
      <c r="J812">
        <v>1</v>
      </c>
      <c r="K812">
        <v>0.75</v>
      </c>
    </row>
    <row r="813" spans="1:11" x14ac:dyDescent="0.2">
      <c r="A813" t="s">
        <v>0</v>
      </c>
      <c r="B813">
        <v>111</v>
      </c>
      <c r="C813" t="s">
        <v>23</v>
      </c>
      <c r="D813" t="s">
        <v>2</v>
      </c>
      <c r="E813" t="s">
        <v>58</v>
      </c>
      <c r="F813">
        <v>0</v>
      </c>
      <c r="G813">
        <v>2</v>
      </c>
      <c r="H813">
        <v>1</v>
      </c>
      <c r="I813">
        <v>0</v>
      </c>
      <c r="J813">
        <v>3</v>
      </c>
      <c r="K813">
        <v>2.1</v>
      </c>
    </row>
    <row r="814" spans="1:11" x14ac:dyDescent="0.2">
      <c r="A814" t="s">
        <v>0</v>
      </c>
      <c r="B814">
        <v>112</v>
      </c>
      <c r="C814" t="s">
        <v>4</v>
      </c>
      <c r="D814" t="s">
        <v>33</v>
      </c>
      <c r="E814" t="s">
        <v>36</v>
      </c>
      <c r="F814">
        <v>0</v>
      </c>
      <c r="G814">
        <v>1</v>
      </c>
      <c r="H814">
        <v>0</v>
      </c>
      <c r="I814">
        <v>0</v>
      </c>
      <c r="J814">
        <v>1</v>
      </c>
      <c r="K814">
        <v>0.75</v>
      </c>
    </row>
    <row r="815" spans="1:11" x14ac:dyDescent="0.2">
      <c r="A815" t="s">
        <v>0</v>
      </c>
      <c r="B815">
        <v>112</v>
      </c>
      <c r="C815" t="s">
        <v>4</v>
      </c>
      <c r="D815" t="s">
        <v>2</v>
      </c>
      <c r="E815" t="s">
        <v>32</v>
      </c>
      <c r="F815">
        <v>1</v>
      </c>
      <c r="G815">
        <v>0</v>
      </c>
      <c r="H815">
        <v>0</v>
      </c>
      <c r="I815">
        <v>0</v>
      </c>
      <c r="J815">
        <v>1</v>
      </c>
      <c r="K815">
        <v>1</v>
      </c>
    </row>
    <row r="816" spans="1:11" x14ac:dyDescent="0.2">
      <c r="A816" t="s">
        <v>0</v>
      </c>
      <c r="B816">
        <v>112</v>
      </c>
      <c r="C816" t="s">
        <v>15</v>
      </c>
      <c r="D816" t="s">
        <v>2</v>
      </c>
      <c r="E816" t="s">
        <v>38</v>
      </c>
      <c r="F816">
        <v>0</v>
      </c>
      <c r="G816">
        <v>0</v>
      </c>
      <c r="H816">
        <v>1</v>
      </c>
      <c r="I816">
        <v>0</v>
      </c>
      <c r="J816">
        <v>1</v>
      </c>
      <c r="K816">
        <v>0.5</v>
      </c>
    </row>
    <row r="817" spans="1:11" x14ac:dyDescent="0.2">
      <c r="A817" t="s">
        <v>0</v>
      </c>
      <c r="B817">
        <v>112</v>
      </c>
      <c r="C817" t="s">
        <v>23</v>
      </c>
      <c r="D817" t="s">
        <v>33</v>
      </c>
      <c r="E817" t="s">
        <v>34</v>
      </c>
      <c r="F817">
        <v>0</v>
      </c>
      <c r="G817">
        <v>1</v>
      </c>
      <c r="H817">
        <v>0</v>
      </c>
      <c r="I817">
        <v>0</v>
      </c>
      <c r="J817">
        <v>1</v>
      </c>
      <c r="K817">
        <v>0.75</v>
      </c>
    </row>
    <row r="818" spans="1:11" x14ac:dyDescent="0.2">
      <c r="A818" t="s">
        <v>0</v>
      </c>
      <c r="B818">
        <v>112</v>
      </c>
      <c r="C818" t="s">
        <v>23</v>
      </c>
      <c r="D818" t="s">
        <v>33</v>
      </c>
      <c r="E818" t="s">
        <v>40</v>
      </c>
      <c r="F818">
        <v>0</v>
      </c>
      <c r="G818">
        <v>1</v>
      </c>
      <c r="H818">
        <v>1</v>
      </c>
      <c r="I818">
        <v>0</v>
      </c>
      <c r="J818">
        <v>2</v>
      </c>
      <c r="K818">
        <v>1.25</v>
      </c>
    </row>
    <row r="819" spans="1:11" x14ac:dyDescent="0.2">
      <c r="A819" t="s">
        <v>0</v>
      </c>
      <c r="B819">
        <v>112</v>
      </c>
      <c r="C819" t="s">
        <v>23</v>
      </c>
      <c r="D819" t="s">
        <v>2</v>
      </c>
      <c r="E819" t="s">
        <v>58</v>
      </c>
      <c r="F819">
        <v>0</v>
      </c>
      <c r="G819">
        <v>0</v>
      </c>
      <c r="H819">
        <v>1</v>
      </c>
      <c r="I819">
        <v>0</v>
      </c>
      <c r="J819">
        <v>1</v>
      </c>
      <c r="K819">
        <v>0.5</v>
      </c>
    </row>
    <row r="820" spans="1:11" x14ac:dyDescent="0.2">
      <c r="A820" t="s">
        <v>0</v>
      </c>
      <c r="B820">
        <v>113</v>
      </c>
      <c r="C820" t="s">
        <v>4</v>
      </c>
      <c r="D820" t="s">
        <v>33</v>
      </c>
      <c r="E820" t="s">
        <v>36</v>
      </c>
      <c r="F820">
        <v>0</v>
      </c>
      <c r="G820">
        <v>1</v>
      </c>
      <c r="H820">
        <v>0</v>
      </c>
      <c r="I820">
        <v>0</v>
      </c>
      <c r="J820">
        <v>1</v>
      </c>
      <c r="K820">
        <v>0.75</v>
      </c>
    </row>
    <row r="821" spans="1:11" x14ac:dyDescent="0.2">
      <c r="A821" t="s">
        <v>0</v>
      </c>
      <c r="B821">
        <v>113</v>
      </c>
      <c r="C821" t="s">
        <v>4</v>
      </c>
      <c r="D821" t="s">
        <v>6</v>
      </c>
      <c r="E821" t="s">
        <v>45</v>
      </c>
      <c r="F821">
        <v>0</v>
      </c>
      <c r="G821">
        <v>0</v>
      </c>
      <c r="H821">
        <v>2</v>
      </c>
      <c r="I821">
        <v>0</v>
      </c>
      <c r="J821">
        <v>2</v>
      </c>
      <c r="K821">
        <v>1</v>
      </c>
    </row>
    <row r="822" spans="1:11" x14ac:dyDescent="0.2">
      <c r="A822" t="s">
        <v>0</v>
      </c>
      <c r="B822">
        <v>113</v>
      </c>
      <c r="C822" t="s">
        <v>11</v>
      </c>
      <c r="D822" t="s">
        <v>2</v>
      </c>
      <c r="E822" t="s">
        <v>30</v>
      </c>
      <c r="F822">
        <v>1</v>
      </c>
      <c r="G822">
        <v>0</v>
      </c>
      <c r="H822">
        <v>0</v>
      </c>
      <c r="I822">
        <v>0</v>
      </c>
      <c r="J822">
        <v>1</v>
      </c>
      <c r="K822">
        <v>1</v>
      </c>
    </row>
    <row r="823" spans="1:11" x14ac:dyDescent="0.2">
      <c r="A823" t="s">
        <v>0</v>
      </c>
      <c r="B823">
        <v>113</v>
      </c>
      <c r="C823" t="s">
        <v>1</v>
      </c>
      <c r="D823" t="s">
        <v>33</v>
      </c>
      <c r="E823" t="s">
        <v>45</v>
      </c>
      <c r="F823">
        <v>0</v>
      </c>
      <c r="G823">
        <v>0</v>
      </c>
      <c r="H823">
        <v>2</v>
      </c>
      <c r="I823">
        <v>0</v>
      </c>
      <c r="J823">
        <v>2</v>
      </c>
      <c r="K823">
        <v>1</v>
      </c>
    </row>
    <row r="824" spans="1:11" x14ac:dyDescent="0.2">
      <c r="A824" t="s">
        <v>0</v>
      </c>
      <c r="B824">
        <v>113</v>
      </c>
      <c r="C824" t="s">
        <v>15</v>
      </c>
      <c r="D824" t="s">
        <v>2</v>
      </c>
      <c r="E824" t="s">
        <v>38</v>
      </c>
      <c r="F824">
        <v>0</v>
      </c>
      <c r="G824">
        <v>0</v>
      </c>
      <c r="H824">
        <v>1</v>
      </c>
      <c r="I824">
        <v>0</v>
      </c>
      <c r="J824">
        <v>1</v>
      </c>
      <c r="K824">
        <v>0.5</v>
      </c>
    </row>
    <row r="825" spans="1:11" x14ac:dyDescent="0.2">
      <c r="A825" t="s">
        <v>0</v>
      </c>
      <c r="B825">
        <v>113</v>
      </c>
      <c r="C825" t="s">
        <v>18</v>
      </c>
      <c r="D825" t="s">
        <v>2</v>
      </c>
      <c r="E825" t="s">
        <v>21</v>
      </c>
      <c r="F825">
        <v>0</v>
      </c>
      <c r="G825">
        <v>0</v>
      </c>
      <c r="H825">
        <v>0</v>
      </c>
      <c r="I825">
        <v>1</v>
      </c>
      <c r="J825">
        <v>1</v>
      </c>
      <c r="K825">
        <v>0.1</v>
      </c>
    </row>
    <row r="826" spans="1:11" x14ac:dyDescent="0.2">
      <c r="A826" t="s">
        <v>0</v>
      </c>
      <c r="B826">
        <v>114</v>
      </c>
      <c r="C826" t="s">
        <v>4</v>
      </c>
      <c r="D826" t="s">
        <v>6</v>
      </c>
      <c r="E826" t="s">
        <v>45</v>
      </c>
      <c r="F826">
        <v>0</v>
      </c>
      <c r="G826">
        <v>0</v>
      </c>
      <c r="H826">
        <v>1</v>
      </c>
      <c r="I826">
        <v>1</v>
      </c>
      <c r="J826">
        <v>2</v>
      </c>
      <c r="K826">
        <v>0.7</v>
      </c>
    </row>
    <row r="827" spans="1:11" x14ac:dyDescent="0.2">
      <c r="A827" t="s">
        <v>0</v>
      </c>
      <c r="B827">
        <v>114</v>
      </c>
      <c r="C827" t="s">
        <v>11</v>
      </c>
      <c r="D827" t="s">
        <v>2</v>
      </c>
      <c r="E827" t="s">
        <v>30</v>
      </c>
      <c r="F827">
        <v>4</v>
      </c>
      <c r="G827">
        <v>0</v>
      </c>
      <c r="H827">
        <v>3</v>
      </c>
      <c r="I827">
        <v>0</v>
      </c>
      <c r="J827">
        <v>7</v>
      </c>
      <c r="K827">
        <v>5.5</v>
      </c>
    </row>
    <row r="828" spans="1:11" x14ac:dyDescent="0.2">
      <c r="A828" t="s">
        <v>0</v>
      </c>
      <c r="B828">
        <v>114</v>
      </c>
      <c r="C828" t="s">
        <v>1</v>
      </c>
      <c r="D828" t="s">
        <v>33</v>
      </c>
      <c r="E828" t="s">
        <v>45</v>
      </c>
      <c r="F828">
        <v>0</v>
      </c>
      <c r="G828">
        <v>0</v>
      </c>
      <c r="H828">
        <v>1</v>
      </c>
      <c r="I828">
        <v>1</v>
      </c>
      <c r="J828">
        <v>2</v>
      </c>
      <c r="K828">
        <v>0.7</v>
      </c>
    </row>
    <row r="829" spans="1:11" x14ac:dyDescent="0.2">
      <c r="A829" t="s">
        <v>0</v>
      </c>
      <c r="B829">
        <v>114</v>
      </c>
      <c r="C829" t="s">
        <v>23</v>
      </c>
      <c r="D829" t="s">
        <v>33</v>
      </c>
      <c r="E829" t="s">
        <v>40</v>
      </c>
      <c r="F829">
        <v>0</v>
      </c>
      <c r="G829">
        <v>0</v>
      </c>
      <c r="H829">
        <v>1</v>
      </c>
      <c r="I829">
        <v>0</v>
      </c>
      <c r="J829">
        <v>1</v>
      </c>
      <c r="K829">
        <v>0.5</v>
      </c>
    </row>
    <row r="830" spans="1:11" x14ac:dyDescent="0.2">
      <c r="A830" t="s">
        <v>0</v>
      </c>
      <c r="B830">
        <v>114</v>
      </c>
      <c r="C830" t="s">
        <v>23</v>
      </c>
      <c r="D830" t="s">
        <v>2</v>
      </c>
      <c r="E830" t="s">
        <v>58</v>
      </c>
      <c r="F830">
        <v>0</v>
      </c>
      <c r="G830">
        <v>0</v>
      </c>
      <c r="H830">
        <v>1</v>
      </c>
      <c r="I830">
        <v>0</v>
      </c>
      <c r="J830">
        <v>1</v>
      </c>
      <c r="K830">
        <v>0.6</v>
      </c>
    </row>
    <row r="831" spans="1:11" x14ac:dyDescent="0.2">
      <c r="A831" t="s">
        <v>0</v>
      </c>
      <c r="B831">
        <v>115</v>
      </c>
      <c r="C831" t="s">
        <v>4</v>
      </c>
      <c r="D831" t="s">
        <v>33</v>
      </c>
      <c r="E831" t="s">
        <v>36</v>
      </c>
      <c r="F831">
        <v>0</v>
      </c>
      <c r="G831">
        <v>1</v>
      </c>
      <c r="H831">
        <v>0</v>
      </c>
      <c r="I831">
        <v>0</v>
      </c>
      <c r="J831">
        <v>1</v>
      </c>
      <c r="K831">
        <v>0.75</v>
      </c>
    </row>
    <row r="832" spans="1:11" x14ac:dyDescent="0.2">
      <c r="A832" t="s">
        <v>0</v>
      </c>
      <c r="B832">
        <v>115</v>
      </c>
      <c r="C832" t="s">
        <v>4</v>
      </c>
      <c r="D832" t="s">
        <v>6</v>
      </c>
      <c r="E832" t="s">
        <v>45</v>
      </c>
      <c r="F832">
        <v>0</v>
      </c>
      <c r="G832">
        <v>0</v>
      </c>
      <c r="H832">
        <v>0</v>
      </c>
      <c r="I832">
        <v>1</v>
      </c>
      <c r="J832">
        <v>1</v>
      </c>
      <c r="K832">
        <v>0.1</v>
      </c>
    </row>
    <row r="833" spans="1:11" x14ac:dyDescent="0.2">
      <c r="A833" t="s">
        <v>0</v>
      </c>
      <c r="B833">
        <v>115</v>
      </c>
      <c r="C833" t="s">
        <v>4</v>
      </c>
      <c r="D833" t="s">
        <v>2</v>
      </c>
      <c r="E833" t="s">
        <v>48</v>
      </c>
      <c r="F833">
        <v>1</v>
      </c>
      <c r="G833">
        <v>0</v>
      </c>
      <c r="H833">
        <v>0</v>
      </c>
      <c r="I833">
        <v>0</v>
      </c>
      <c r="J833">
        <v>1</v>
      </c>
      <c r="K833">
        <v>1</v>
      </c>
    </row>
    <row r="834" spans="1:11" x14ac:dyDescent="0.2">
      <c r="A834" t="s">
        <v>0</v>
      </c>
      <c r="B834">
        <v>115</v>
      </c>
      <c r="C834" t="s">
        <v>4</v>
      </c>
      <c r="D834" t="s">
        <v>6</v>
      </c>
      <c r="E834" t="s">
        <v>10</v>
      </c>
      <c r="F834">
        <v>0</v>
      </c>
      <c r="G834">
        <v>0</v>
      </c>
      <c r="H834">
        <v>2</v>
      </c>
      <c r="I834">
        <v>0</v>
      </c>
      <c r="J834">
        <v>2</v>
      </c>
      <c r="K834">
        <v>1</v>
      </c>
    </row>
    <row r="835" spans="1:11" x14ac:dyDescent="0.2">
      <c r="A835" t="s">
        <v>0</v>
      </c>
      <c r="B835">
        <v>115</v>
      </c>
      <c r="C835" t="s">
        <v>4</v>
      </c>
      <c r="D835" t="s">
        <v>2</v>
      </c>
      <c r="E835" t="s">
        <v>32</v>
      </c>
      <c r="F835">
        <v>0</v>
      </c>
      <c r="G835">
        <v>0</v>
      </c>
      <c r="H835">
        <v>1</v>
      </c>
      <c r="I835">
        <v>0</v>
      </c>
      <c r="J835">
        <v>1</v>
      </c>
      <c r="K835">
        <v>0.5</v>
      </c>
    </row>
    <row r="836" spans="1:11" x14ac:dyDescent="0.2">
      <c r="A836" t="s">
        <v>0</v>
      </c>
      <c r="B836">
        <v>115</v>
      </c>
      <c r="C836" t="s">
        <v>11</v>
      </c>
      <c r="D836" t="s">
        <v>2</v>
      </c>
      <c r="E836" t="s">
        <v>30</v>
      </c>
      <c r="F836">
        <v>6</v>
      </c>
      <c r="G836">
        <v>0</v>
      </c>
      <c r="H836">
        <v>2</v>
      </c>
      <c r="I836">
        <v>0</v>
      </c>
      <c r="J836">
        <v>8</v>
      </c>
      <c r="K836">
        <v>7</v>
      </c>
    </row>
    <row r="837" spans="1:11" x14ac:dyDescent="0.2">
      <c r="A837" t="s">
        <v>0</v>
      </c>
      <c r="B837">
        <v>115</v>
      </c>
      <c r="C837" t="s">
        <v>1</v>
      </c>
      <c r="D837" t="s">
        <v>33</v>
      </c>
      <c r="E837" t="s">
        <v>45</v>
      </c>
      <c r="F837">
        <v>0</v>
      </c>
      <c r="G837">
        <v>0</v>
      </c>
      <c r="H837">
        <v>0</v>
      </c>
      <c r="I837">
        <v>1</v>
      </c>
      <c r="J837">
        <v>1</v>
      </c>
      <c r="K837">
        <v>0.1</v>
      </c>
    </row>
    <row r="838" spans="1:11" x14ac:dyDescent="0.2">
      <c r="A838" t="s">
        <v>0</v>
      </c>
      <c r="B838">
        <v>115</v>
      </c>
      <c r="C838" t="s">
        <v>1</v>
      </c>
      <c r="D838" t="s">
        <v>2</v>
      </c>
      <c r="E838" t="s">
        <v>48</v>
      </c>
      <c r="F838">
        <v>1</v>
      </c>
      <c r="G838">
        <v>0</v>
      </c>
      <c r="H838">
        <v>0</v>
      </c>
      <c r="I838">
        <v>0</v>
      </c>
      <c r="J838">
        <v>1</v>
      </c>
      <c r="K838">
        <v>1</v>
      </c>
    </row>
    <row r="839" spans="1:11" x14ac:dyDescent="0.2">
      <c r="A839" t="s">
        <v>0</v>
      </c>
      <c r="B839">
        <v>115</v>
      </c>
      <c r="C839" t="s">
        <v>15</v>
      </c>
      <c r="D839" t="s">
        <v>2</v>
      </c>
      <c r="E839" t="s">
        <v>48</v>
      </c>
      <c r="F839">
        <v>1</v>
      </c>
      <c r="G839">
        <v>0</v>
      </c>
      <c r="H839">
        <v>0</v>
      </c>
      <c r="I839">
        <v>0</v>
      </c>
      <c r="J839">
        <v>1</v>
      </c>
      <c r="K839">
        <v>1</v>
      </c>
    </row>
    <row r="840" spans="1:11" x14ac:dyDescent="0.2">
      <c r="A840" t="s">
        <v>0</v>
      </c>
      <c r="B840">
        <v>115</v>
      </c>
      <c r="C840" t="s">
        <v>18</v>
      </c>
      <c r="D840" t="s">
        <v>2</v>
      </c>
      <c r="E840" t="s">
        <v>21</v>
      </c>
      <c r="F840">
        <v>0</v>
      </c>
      <c r="G840">
        <v>0</v>
      </c>
      <c r="H840">
        <v>0</v>
      </c>
      <c r="I840">
        <v>1</v>
      </c>
      <c r="J840">
        <v>1</v>
      </c>
      <c r="K840">
        <v>0.1</v>
      </c>
    </row>
    <row r="841" spans="1:11" x14ac:dyDescent="0.2">
      <c r="A841" t="s">
        <v>0</v>
      </c>
      <c r="B841">
        <v>115</v>
      </c>
      <c r="C841" t="s">
        <v>23</v>
      </c>
      <c r="D841" t="s">
        <v>33</v>
      </c>
      <c r="E841" t="s">
        <v>34</v>
      </c>
      <c r="F841">
        <v>0</v>
      </c>
      <c r="G841">
        <v>0</v>
      </c>
      <c r="H841">
        <v>1</v>
      </c>
      <c r="I841">
        <v>0</v>
      </c>
      <c r="J841">
        <v>1</v>
      </c>
      <c r="K841">
        <v>0.5</v>
      </c>
    </row>
    <row r="842" spans="1:11" x14ac:dyDescent="0.2">
      <c r="A842" t="s">
        <v>0</v>
      </c>
      <c r="B842">
        <v>115</v>
      </c>
      <c r="C842" t="s">
        <v>23</v>
      </c>
      <c r="D842" t="s">
        <v>2</v>
      </c>
      <c r="E842" t="s">
        <v>48</v>
      </c>
      <c r="F842">
        <v>1</v>
      </c>
      <c r="G842">
        <v>0</v>
      </c>
      <c r="H842">
        <v>0</v>
      </c>
      <c r="I842">
        <v>0</v>
      </c>
      <c r="J842">
        <v>1</v>
      </c>
      <c r="K842">
        <v>1</v>
      </c>
    </row>
    <row r="843" spans="1:11" x14ac:dyDescent="0.2">
      <c r="A843" t="s">
        <v>0</v>
      </c>
      <c r="B843">
        <v>115</v>
      </c>
      <c r="C843" t="s">
        <v>23</v>
      </c>
      <c r="D843" t="s">
        <v>33</v>
      </c>
      <c r="E843" t="s">
        <v>40</v>
      </c>
      <c r="F843">
        <v>0</v>
      </c>
      <c r="G843">
        <v>0</v>
      </c>
      <c r="H843">
        <v>1</v>
      </c>
      <c r="I843">
        <v>0</v>
      </c>
      <c r="J843">
        <v>1</v>
      </c>
      <c r="K843">
        <v>0.5</v>
      </c>
    </row>
    <row r="844" spans="1:11" x14ac:dyDescent="0.2">
      <c r="A844" t="s">
        <v>0</v>
      </c>
      <c r="B844">
        <v>115</v>
      </c>
      <c r="C844" t="s">
        <v>23</v>
      </c>
      <c r="D844" t="s">
        <v>2</v>
      </c>
      <c r="E844" t="s">
        <v>10</v>
      </c>
      <c r="F844">
        <v>0</v>
      </c>
      <c r="G844">
        <v>0</v>
      </c>
      <c r="H844">
        <v>2</v>
      </c>
      <c r="I844">
        <v>0</v>
      </c>
      <c r="J844">
        <v>2</v>
      </c>
      <c r="K844">
        <v>1</v>
      </c>
    </row>
    <row r="845" spans="1:11" x14ac:dyDescent="0.2">
      <c r="A845" t="s">
        <v>0</v>
      </c>
      <c r="B845">
        <v>115</v>
      </c>
      <c r="C845" t="s">
        <v>23</v>
      </c>
      <c r="D845" t="s">
        <v>6</v>
      </c>
      <c r="E845" t="s">
        <v>25</v>
      </c>
      <c r="F845">
        <v>0</v>
      </c>
      <c r="G845">
        <v>0</v>
      </c>
      <c r="H845">
        <v>2</v>
      </c>
      <c r="I845">
        <v>0</v>
      </c>
      <c r="J845">
        <v>2</v>
      </c>
      <c r="K845">
        <v>1</v>
      </c>
    </row>
    <row r="846" spans="1:11" x14ac:dyDescent="0.2">
      <c r="A846" t="s">
        <v>0</v>
      </c>
      <c r="B846">
        <v>115</v>
      </c>
      <c r="C846" t="s">
        <v>23</v>
      </c>
      <c r="D846" t="s">
        <v>2</v>
      </c>
      <c r="E846" t="s">
        <v>35</v>
      </c>
      <c r="F846">
        <v>0</v>
      </c>
      <c r="G846">
        <v>0</v>
      </c>
      <c r="H846">
        <v>1</v>
      </c>
      <c r="I846">
        <v>0</v>
      </c>
      <c r="J846">
        <v>1</v>
      </c>
      <c r="K846">
        <v>0.5</v>
      </c>
    </row>
    <row r="847" spans="1:11" x14ac:dyDescent="0.2">
      <c r="A847" t="s">
        <v>0</v>
      </c>
      <c r="B847">
        <v>115</v>
      </c>
      <c r="C847" t="s">
        <v>27</v>
      </c>
      <c r="D847" t="s">
        <v>6</v>
      </c>
      <c r="E847" t="s">
        <v>28</v>
      </c>
      <c r="F847">
        <v>0</v>
      </c>
      <c r="G847">
        <v>1</v>
      </c>
      <c r="H847">
        <v>0</v>
      </c>
      <c r="I847">
        <v>0</v>
      </c>
      <c r="J847">
        <v>1</v>
      </c>
      <c r="K847">
        <v>0.75</v>
      </c>
    </row>
    <row r="848" spans="1:11" x14ac:dyDescent="0.2">
      <c r="A848" t="s">
        <v>0</v>
      </c>
      <c r="B848">
        <v>116</v>
      </c>
      <c r="C848" t="s">
        <v>4</v>
      </c>
      <c r="D848" t="s">
        <v>6</v>
      </c>
      <c r="E848" t="s">
        <v>45</v>
      </c>
      <c r="F848">
        <v>0</v>
      </c>
      <c r="G848">
        <v>0</v>
      </c>
      <c r="H848">
        <v>0</v>
      </c>
      <c r="I848">
        <v>1</v>
      </c>
      <c r="J848">
        <v>1</v>
      </c>
      <c r="K848">
        <v>0.1</v>
      </c>
    </row>
    <row r="849" spans="1:11" x14ac:dyDescent="0.2">
      <c r="A849" t="s">
        <v>0</v>
      </c>
      <c r="B849">
        <v>116</v>
      </c>
      <c r="C849" t="s">
        <v>4</v>
      </c>
      <c r="D849" t="s">
        <v>6</v>
      </c>
      <c r="E849" t="s">
        <v>10</v>
      </c>
      <c r="F849">
        <v>0</v>
      </c>
      <c r="G849">
        <v>0</v>
      </c>
      <c r="H849">
        <v>3</v>
      </c>
      <c r="I849">
        <v>0</v>
      </c>
      <c r="J849">
        <v>3</v>
      </c>
      <c r="K849">
        <v>1.5</v>
      </c>
    </row>
    <row r="850" spans="1:11" x14ac:dyDescent="0.2">
      <c r="A850" t="s">
        <v>0</v>
      </c>
      <c r="B850">
        <v>116</v>
      </c>
      <c r="C850" t="s">
        <v>11</v>
      </c>
      <c r="D850" t="s">
        <v>2</v>
      </c>
      <c r="E850" t="s">
        <v>30</v>
      </c>
      <c r="F850">
        <v>1</v>
      </c>
      <c r="G850">
        <v>0</v>
      </c>
      <c r="H850">
        <v>0</v>
      </c>
      <c r="I850">
        <v>0</v>
      </c>
      <c r="J850">
        <v>1</v>
      </c>
      <c r="K850">
        <v>1</v>
      </c>
    </row>
    <row r="851" spans="1:11" x14ac:dyDescent="0.2">
      <c r="A851" t="s">
        <v>0</v>
      </c>
      <c r="B851">
        <v>116</v>
      </c>
      <c r="C851" t="s">
        <v>11</v>
      </c>
      <c r="D851" t="s">
        <v>2</v>
      </c>
      <c r="E851" t="s">
        <v>76</v>
      </c>
      <c r="F851">
        <v>0</v>
      </c>
      <c r="G851">
        <v>0</v>
      </c>
      <c r="H851">
        <v>0</v>
      </c>
      <c r="I851">
        <v>1</v>
      </c>
      <c r="J851">
        <v>1</v>
      </c>
      <c r="K851">
        <v>0.1</v>
      </c>
    </row>
    <row r="852" spans="1:11" x14ac:dyDescent="0.2">
      <c r="A852" t="s">
        <v>0</v>
      </c>
      <c r="B852">
        <v>116</v>
      </c>
      <c r="C852" t="s">
        <v>1</v>
      </c>
      <c r="D852" t="s">
        <v>33</v>
      </c>
      <c r="E852" t="s">
        <v>45</v>
      </c>
      <c r="F852">
        <v>0</v>
      </c>
      <c r="G852">
        <v>0</v>
      </c>
      <c r="H852">
        <v>0</v>
      </c>
      <c r="I852">
        <v>1</v>
      </c>
      <c r="J852">
        <v>1</v>
      </c>
      <c r="K852">
        <v>0.1</v>
      </c>
    </row>
    <row r="853" spans="1:11" x14ac:dyDescent="0.2">
      <c r="A853" t="s">
        <v>0</v>
      </c>
      <c r="B853">
        <v>116</v>
      </c>
      <c r="C853" t="s">
        <v>23</v>
      </c>
      <c r="D853" t="s">
        <v>2</v>
      </c>
      <c r="E853" t="s">
        <v>10</v>
      </c>
      <c r="F853">
        <v>0</v>
      </c>
      <c r="G853">
        <v>0</v>
      </c>
      <c r="H853">
        <v>3</v>
      </c>
      <c r="I853">
        <v>0</v>
      </c>
      <c r="J853">
        <v>3</v>
      </c>
      <c r="K853">
        <v>1.5</v>
      </c>
    </row>
    <row r="854" spans="1:11" x14ac:dyDescent="0.2">
      <c r="A854" t="s">
        <v>0</v>
      </c>
      <c r="B854">
        <v>116</v>
      </c>
      <c r="C854" t="s">
        <v>23</v>
      </c>
      <c r="D854" t="s">
        <v>6</v>
      </c>
      <c r="E854" t="s">
        <v>25</v>
      </c>
      <c r="F854">
        <v>0</v>
      </c>
      <c r="G854">
        <v>0</v>
      </c>
      <c r="H854">
        <v>3</v>
      </c>
      <c r="I854">
        <v>0</v>
      </c>
      <c r="J854">
        <v>3</v>
      </c>
      <c r="K854">
        <v>1.5</v>
      </c>
    </row>
    <row r="855" spans="1:11" x14ac:dyDescent="0.2">
      <c r="A855" t="s">
        <v>0</v>
      </c>
      <c r="B855">
        <v>116</v>
      </c>
      <c r="C855" t="s">
        <v>27</v>
      </c>
      <c r="D855" t="s">
        <v>6</v>
      </c>
      <c r="E855" t="s">
        <v>55</v>
      </c>
      <c r="F855">
        <v>0</v>
      </c>
      <c r="G855">
        <v>1</v>
      </c>
      <c r="H855">
        <v>0</v>
      </c>
      <c r="I855">
        <v>0</v>
      </c>
      <c r="J855">
        <v>1</v>
      </c>
      <c r="K855">
        <v>0.75</v>
      </c>
    </row>
    <row r="856" spans="1:11" x14ac:dyDescent="0.2">
      <c r="A856" t="s">
        <v>0</v>
      </c>
      <c r="B856">
        <v>117</v>
      </c>
      <c r="C856" t="s">
        <v>4</v>
      </c>
      <c r="D856" t="s">
        <v>6</v>
      </c>
      <c r="E856" t="s">
        <v>45</v>
      </c>
      <c r="F856">
        <v>0</v>
      </c>
      <c r="G856">
        <v>1</v>
      </c>
      <c r="H856">
        <v>0</v>
      </c>
      <c r="I856">
        <v>0</v>
      </c>
      <c r="J856">
        <v>1</v>
      </c>
      <c r="K856">
        <v>0.75</v>
      </c>
    </row>
    <row r="857" spans="1:11" x14ac:dyDescent="0.2">
      <c r="A857" t="s">
        <v>0</v>
      </c>
      <c r="B857">
        <v>117</v>
      </c>
      <c r="C857" t="s">
        <v>4</v>
      </c>
      <c r="D857" t="s">
        <v>6</v>
      </c>
      <c r="E857" t="s">
        <v>10</v>
      </c>
      <c r="F857">
        <v>0</v>
      </c>
      <c r="G857">
        <v>0</v>
      </c>
      <c r="H857">
        <v>2</v>
      </c>
      <c r="I857">
        <v>0</v>
      </c>
      <c r="J857">
        <v>2</v>
      </c>
      <c r="K857">
        <v>1</v>
      </c>
    </row>
    <row r="858" spans="1:11" x14ac:dyDescent="0.2">
      <c r="A858" t="s">
        <v>0</v>
      </c>
      <c r="B858">
        <v>117</v>
      </c>
      <c r="C858" t="s">
        <v>11</v>
      </c>
      <c r="D858" t="s">
        <v>2</v>
      </c>
      <c r="E858" t="s">
        <v>30</v>
      </c>
      <c r="F858">
        <v>1</v>
      </c>
      <c r="G858">
        <v>0</v>
      </c>
      <c r="H858">
        <v>0</v>
      </c>
      <c r="I858">
        <v>0</v>
      </c>
      <c r="J858">
        <v>1</v>
      </c>
      <c r="K858">
        <v>1</v>
      </c>
    </row>
    <row r="859" spans="1:11" x14ac:dyDescent="0.2">
      <c r="A859" t="s">
        <v>0</v>
      </c>
      <c r="B859">
        <v>117</v>
      </c>
      <c r="C859" t="s">
        <v>1</v>
      </c>
      <c r="D859" t="s">
        <v>33</v>
      </c>
      <c r="E859" t="s">
        <v>45</v>
      </c>
      <c r="F859">
        <v>0</v>
      </c>
      <c r="G859">
        <v>1</v>
      </c>
      <c r="H859">
        <v>0</v>
      </c>
      <c r="I859">
        <v>0</v>
      </c>
      <c r="J859">
        <v>1</v>
      </c>
      <c r="K859">
        <v>0.75</v>
      </c>
    </row>
    <row r="860" spans="1:11" x14ac:dyDescent="0.2">
      <c r="A860" t="s">
        <v>0</v>
      </c>
      <c r="B860">
        <v>117</v>
      </c>
      <c r="C860" t="s">
        <v>23</v>
      </c>
      <c r="D860" t="s">
        <v>2</v>
      </c>
      <c r="E860" t="s">
        <v>10</v>
      </c>
      <c r="F860">
        <v>0</v>
      </c>
      <c r="G860">
        <v>0</v>
      </c>
      <c r="H860">
        <v>2</v>
      </c>
      <c r="I860">
        <v>0</v>
      </c>
      <c r="J860">
        <v>2</v>
      </c>
      <c r="K860">
        <v>1</v>
      </c>
    </row>
    <row r="861" spans="1:11" x14ac:dyDescent="0.2">
      <c r="A861" t="s">
        <v>0</v>
      </c>
      <c r="B861">
        <v>117</v>
      </c>
      <c r="C861" t="s">
        <v>23</v>
      </c>
      <c r="D861" t="s">
        <v>6</v>
      </c>
      <c r="E861" t="s">
        <v>25</v>
      </c>
      <c r="F861">
        <v>0</v>
      </c>
      <c r="G861">
        <v>0</v>
      </c>
      <c r="H861">
        <v>2</v>
      </c>
      <c r="I861">
        <v>0</v>
      </c>
      <c r="J861">
        <v>2</v>
      </c>
      <c r="K861">
        <v>1</v>
      </c>
    </row>
    <row r="862" spans="1:11" x14ac:dyDescent="0.2">
      <c r="A862" t="s">
        <v>0</v>
      </c>
      <c r="B862">
        <v>117</v>
      </c>
      <c r="C862" t="s">
        <v>23</v>
      </c>
      <c r="D862" t="s">
        <v>2</v>
      </c>
      <c r="E862" t="s">
        <v>35</v>
      </c>
      <c r="F862">
        <v>0</v>
      </c>
      <c r="G862">
        <v>0</v>
      </c>
      <c r="H862">
        <v>1</v>
      </c>
      <c r="I862">
        <v>0</v>
      </c>
      <c r="J862">
        <v>1</v>
      </c>
      <c r="K862">
        <v>0.5</v>
      </c>
    </row>
    <row r="863" spans="1:11" x14ac:dyDescent="0.2">
      <c r="A863" t="s">
        <v>0</v>
      </c>
      <c r="B863">
        <v>118</v>
      </c>
      <c r="C863" t="s">
        <v>11</v>
      </c>
      <c r="D863" t="s">
        <v>2</v>
      </c>
      <c r="E863" t="s">
        <v>30</v>
      </c>
      <c r="F863">
        <v>1</v>
      </c>
      <c r="G863">
        <v>0</v>
      </c>
      <c r="H863">
        <v>0</v>
      </c>
      <c r="I863">
        <v>0</v>
      </c>
      <c r="J863">
        <v>1</v>
      </c>
      <c r="K863">
        <v>1</v>
      </c>
    </row>
    <row r="864" spans="1:11" x14ac:dyDescent="0.2">
      <c r="A864" t="s">
        <v>0</v>
      </c>
      <c r="B864">
        <v>118</v>
      </c>
      <c r="C864" t="s">
        <v>23</v>
      </c>
      <c r="D864" t="s">
        <v>33</v>
      </c>
      <c r="E864" t="s">
        <v>40</v>
      </c>
      <c r="F864">
        <v>0</v>
      </c>
      <c r="G864">
        <v>0</v>
      </c>
      <c r="H864">
        <v>1</v>
      </c>
      <c r="I864">
        <v>0</v>
      </c>
      <c r="J864">
        <v>1</v>
      </c>
      <c r="K864">
        <v>0.5</v>
      </c>
    </row>
    <row r="865" spans="1:11" x14ac:dyDescent="0.2">
      <c r="A865" t="s">
        <v>0</v>
      </c>
      <c r="B865">
        <v>118</v>
      </c>
      <c r="C865" t="s">
        <v>27</v>
      </c>
      <c r="D865" t="s">
        <v>2</v>
      </c>
      <c r="E865" t="s">
        <v>42</v>
      </c>
      <c r="F865">
        <v>0</v>
      </c>
      <c r="G865">
        <v>0</v>
      </c>
      <c r="H865">
        <v>1</v>
      </c>
      <c r="I865">
        <v>0</v>
      </c>
      <c r="J865">
        <v>1</v>
      </c>
      <c r="K865">
        <v>0.5</v>
      </c>
    </row>
    <row r="866" spans="1:11" x14ac:dyDescent="0.2">
      <c r="A866" t="s">
        <v>0</v>
      </c>
      <c r="B866">
        <v>119</v>
      </c>
      <c r="C866" t="s">
        <v>4</v>
      </c>
      <c r="D866" t="s">
        <v>6</v>
      </c>
      <c r="E866" t="s">
        <v>45</v>
      </c>
      <c r="F866">
        <v>0</v>
      </c>
      <c r="G866">
        <v>0</v>
      </c>
      <c r="H866">
        <v>1</v>
      </c>
      <c r="I866">
        <v>0</v>
      </c>
      <c r="J866">
        <v>1</v>
      </c>
      <c r="K866">
        <v>0.5</v>
      </c>
    </row>
    <row r="867" spans="1:11" x14ac:dyDescent="0.2">
      <c r="A867" t="s">
        <v>0</v>
      </c>
      <c r="B867">
        <v>119</v>
      </c>
      <c r="C867" t="s">
        <v>4</v>
      </c>
      <c r="D867" t="s">
        <v>2</v>
      </c>
      <c r="E867" t="s">
        <v>32</v>
      </c>
      <c r="F867">
        <v>1</v>
      </c>
      <c r="G867">
        <v>0</v>
      </c>
      <c r="H867">
        <v>0</v>
      </c>
      <c r="I867">
        <v>0</v>
      </c>
      <c r="J867">
        <v>1</v>
      </c>
      <c r="K867">
        <v>1</v>
      </c>
    </row>
    <row r="868" spans="1:11" x14ac:dyDescent="0.2">
      <c r="A868" t="s">
        <v>0</v>
      </c>
      <c r="B868">
        <v>119</v>
      </c>
      <c r="C868" t="s">
        <v>11</v>
      </c>
      <c r="D868" t="s">
        <v>2</v>
      </c>
      <c r="E868" t="s">
        <v>30</v>
      </c>
      <c r="F868">
        <v>1</v>
      </c>
      <c r="G868">
        <v>0</v>
      </c>
      <c r="H868">
        <v>0</v>
      </c>
      <c r="I868">
        <v>0</v>
      </c>
      <c r="J868">
        <v>1</v>
      </c>
      <c r="K868">
        <v>1</v>
      </c>
    </row>
    <row r="869" spans="1:11" x14ac:dyDescent="0.2">
      <c r="A869" t="s">
        <v>0</v>
      </c>
      <c r="B869">
        <v>119</v>
      </c>
      <c r="C869" t="s">
        <v>1</v>
      </c>
      <c r="D869" t="s">
        <v>33</v>
      </c>
      <c r="E869" t="s">
        <v>45</v>
      </c>
      <c r="F869">
        <v>0</v>
      </c>
      <c r="G869">
        <v>0</v>
      </c>
      <c r="H869">
        <v>1</v>
      </c>
      <c r="I869">
        <v>0</v>
      </c>
      <c r="J869">
        <v>1</v>
      </c>
      <c r="K869">
        <v>0.5</v>
      </c>
    </row>
    <row r="870" spans="1:11" x14ac:dyDescent="0.2">
      <c r="A870" t="s">
        <v>0</v>
      </c>
      <c r="B870">
        <v>119</v>
      </c>
      <c r="C870" t="s">
        <v>23</v>
      </c>
      <c r="D870" t="s">
        <v>33</v>
      </c>
      <c r="E870" t="s">
        <v>34</v>
      </c>
      <c r="F870">
        <v>0</v>
      </c>
      <c r="G870">
        <v>1</v>
      </c>
      <c r="H870">
        <v>0</v>
      </c>
      <c r="I870">
        <v>0</v>
      </c>
      <c r="J870">
        <v>1</v>
      </c>
      <c r="K870">
        <v>0.75</v>
      </c>
    </row>
    <row r="871" spans="1:11" x14ac:dyDescent="0.2">
      <c r="A871" t="s">
        <v>0</v>
      </c>
      <c r="B871">
        <v>119</v>
      </c>
      <c r="C871" t="s">
        <v>23</v>
      </c>
      <c r="D871" t="s">
        <v>2</v>
      </c>
      <c r="E871" t="s">
        <v>35</v>
      </c>
      <c r="F871">
        <v>0</v>
      </c>
      <c r="G871">
        <v>0</v>
      </c>
      <c r="H871">
        <v>0</v>
      </c>
      <c r="I871">
        <v>1</v>
      </c>
      <c r="J871">
        <v>1</v>
      </c>
      <c r="K871">
        <v>0.1</v>
      </c>
    </row>
    <row r="872" spans="1:11" x14ac:dyDescent="0.2">
      <c r="A872" t="s">
        <v>0</v>
      </c>
      <c r="B872">
        <v>120</v>
      </c>
      <c r="C872" t="s">
        <v>4</v>
      </c>
      <c r="D872" t="s">
        <v>2</v>
      </c>
      <c r="E872" t="s">
        <v>32</v>
      </c>
      <c r="F872">
        <v>0</v>
      </c>
      <c r="G872">
        <v>0</v>
      </c>
      <c r="H872">
        <v>0</v>
      </c>
      <c r="I872">
        <v>2</v>
      </c>
      <c r="J872">
        <v>2</v>
      </c>
      <c r="K872">
        <v>0.2</v>
      </c>
    </row>
    <row r="873" spans="1:11" x14ac:dyDescent="0.2">
      <c r="A873" t="s">
        <v>0</v>
      </c>
      <c r="B873">
        <v>120</v>
      </c>
      <c r="C873" t="s">
        <v>11</v>
      </c>
      <c r="D873" t="s">
        <v>2</v>
      </c>
      <c r="E873" t="s">
        <v>30</v>
      </c>
      <c r="F873">
        <v>1</v>
      </c>
      <c r="G873">
        <v>0</v>
      </c>
      <c r="H873">
        <v>0</v>
      </c>
      <c r="I873">
        <v>0</v>
      </c>
      <c r="J873">
        <v>1</v>
      </c>
      <c r="K873">
        <v>1</v>
      </c>
    </row>
    <row r="874" spans="1:11" x14ac:dyDescent="0.2">
      <c r="A874" t="s">
        <v>0</v>
      </c>
      <c r="B874">
        <v>120</v>
      </c>
      <c r="C874" t="s">
        <v>18</v>
      </c>
      <c r="D874" t="s">
        <v>2</v>
      </c>
      <c r="E874" t="s">
        <v>21</v>
      </c>
      <c r="F874">
        <v>0</v>
      </c>
      <c r="G874">
        <v>0</v>
      </c>
      <c r="H874">
        <v>0</v>
      </c>
      <c r="I874">
        <v>2</v>
      </c>
      <c r="J874">
        <v>2</v>
      </c>
      <c r="K874">
        <v>0.2</v>
      </c>
    </row>
    <row r="875" spans="1:11" x14ac:dyDescent="0.2">
      <c r="A875" t="s">
        <v>0</v>
      </c>
      <c r="B875">
        <v>120</v>
      </c>
      <c r="C875" t="s">
        <v>23</v>
      </c>
      <c r="D875" t="s">
        <v>33</v>
      </c>
      <c r="E875" t="s">
        <v>34</v>
      </c>
      <c r="F875">
        <v>0</v>
      </c>
      <c r="G875">
        <v>0</v>
      </c>
      <c r="H875">
        <v>2</v>
      </c>
      <c r="I875">
        <v>0</v>
      </c>
      <c r="J875">
        <v>2</v>
      </c>
      <c r="K875">
        <v>1.2</v>
      </c>
    </row>
    <row r="876" spans="1:11" x14ac:dyDescent="0.2">
      <c r="A876" t="s">
        <v>0</v>
      </c>
      <c r="B876">
        <v>121</v>
      </c>
      <c r="C876" t="s">
        <v>4</v>
      </c>
      <c r="D876" t="s">
        <v>6</v>
      </c>
      <c r="E876" t="s">
        <v>45</v>
      </c>
      <c r="F876">
        <v>0</v>
      </c>
      <c r="G876">
        <v>0</v>
      </c>
      <c r="H876">
        <v>1</v>
      </c>
      <c r="I876">
        <v>1</v>
      </c>
      <c r="J876">
        <v>2</v>
      </c>
      <c r="K876">
        <v>0.6</v>
      </c>
    </row>
    <row r="877" spans="1:11" x14ac:dyDescent="0.2">
      <c r="A877" t="s">
        <v>0</v>
      </c>
      <c r="B877">
        <v>121</v>
      </c>
      <c r="C877" t="s">
        <v>11</v>
      </c>
      <c r="D877" t="s">
        <v>2</v>
      </c>
      <c r="E877" t="s">
        <v>30</v>
      </c>
      <c r="F877">
        <v>1</v>
      </c>
      <c r="G877">
        <v>0</v>
      </c>
      <c r="H877">
        <v>0</v>
      </c>
      <c r="I877">
        <v>0</v>
      </c>
      <c r="J877">
        <v>1</v>
      </c>
      <c r="K877">
        <v>1</v>
      </c>
    </row>
    <row r="878" spans="1:11" x14ac:dyDescent="0.2">
      <c r="A878" t="s">
        <v>0</v>
      </c>
      <c r="B878">
        <v>121</v>
      </c>
      <c r="C878" t="s">
        <v>1</v>
      </c>
      <c r="D878" t="s">
        <v>33</v>
      </c>
      <c r="E878" t="s">
        <v>45</v>
      </c>
      <c r="F878">
        <v>0</v>
      </c>
      <c r="G878">
        <v>0</v>
      </c>
      <c r="H878">
        <v>1</v>
      </c>
      <c r="I878">
        <v>1</v>
      </c>
      <c r="J878">
        <v>2</v>
      </c>
      <c r="K878">
        <v>0.6</v>
      </c>
    </row>
    <row r="879" spans="1:11" x14ac:dyDescent="0.2">
      <c r="A879" t="s">
        <v>0</v>
      </c>
      <c r="B879">
        <v>121</v>
      </c>
      <c r="C879" t="s">
        <v>27</v>
      </c>
      <c r="D879" t="s">
        <v>6</v>
      </c>
      <c r="E879" t="s">
        <v>28</v>
      </c>
      <c r="F879">
        <v>0</v>
      </c>
      <c r="G879">
        <v>0</v>
      </c>
      <c r="H879">
        <v>1</v>
      </c>
      <c r="I879">
        <v>0</v>
      </c>
      <c r="J879">
        <v>1</v>
      </c>
      <c r="K879">
        <v>0.5</v>
      </c>
    </row>
    <row r="880" spans="1:11" x14ac:dyDescent="0.2">
      <c r="A880" t="s">
        <v>0</v>
      </c>
      <c r="B880">
        <v>122</v>
      </c>
      <c r="C880" t="s">
        <v>4</v>
      </c>
      <c r="D880" t="s">
        <v>2</v>
      </c>
      <c r="E880" t="s">
        <v>32</v>
      </c>
      <c r="F880">
        <v>0</v>
      </c>
      <c r="G880">
        <v>0</v>
      </c>
      <c r="H880">
        <v>0</v>
      </c>
      <c r="I880">
        <v>2</v>
      </c>
      <c r="J880">
        <v>2</v>
      </c>
      <c r="K880">
        <v>0.2</v>
      </c>
    </row>
    <row r="881" spans="1:11" x14ac:dyDescent="0.2">
      <c r="A881" t="s">
        <v>0</v>
      </c>
      <c r="B881">
        <v>122</v>
      </c>
      <c r="C881" t="s">
        <v>11</v>
      </c>
      <c r="D881" t="s">
        <v>2</v>
      </c>
      <c r="E881" t="s">
        <v>30</v>
      </c>
      <c r="F881">
        <v>1</v>
      </c>
      <c r="G881">
        <v>0</v>
      </c>
      <c r="H881">
        <v>0</v>
      </c>
      <c r="I881">
        <v>0</v>
      </c>
      <c r="J881">
        <v>1</v>
      </c>
      <c r="K881">
        <v>1</v>
      </c>
    </row>
    <row r="882" spans="1:11" x14ac:dyDescent="0.2">
      <c r="A882" t="s">
        <v>0</v>
      </c>
      <c r="B882">
        <v>122</v>
      </c>
      <c r="C882" t="s">
        <v>18</v>
      </c>
      <c r="D882" t="s">
        <v>2</v>
      </c>
      <c r="E882" t="s">
        <v>57</v>
      </c>
      <c r="F882">
        <v>1</v>
      </c>
      <c r="G882">
        <v>0</v>
      </c>
      <c r="H882">
        <v>0</v>
      </c>
      <c r="I882">
        <v>0</v>
      </c>
      <c r="J882">
        <v>1</v>
      </c>
      <c r="K882">
        <v>1</v>
      </c>
    </row>
    <row r="883" spans="1:11" x14ac:dyDescent="0.2">
      <c r="A883" t="s">
        <v>0</v>
      </c>
      <c r="B883">
        <v>122</v>
      </c>
      <c r="C883" t="s">
        <v>18</v>
      </c>
      <c r="D883" t="s">
        <v>6</v>
      </c>
      <c r="E883" t="s">
        <v>57</v>
      </c>
      <c r="F883">
        <v>1</v>
      </c>
      <c r="G883">
        <v>0</v>
      </c>
      <c r="H883">
        <v>0</v>
      </c>
      <c r="I883">
        <v>0</v>
      </c>
      <c r="J883">
        <v>1</v>
      </c>
      <c r="K883">
        <v>1</v>
      </c>
    </row>
    <row r="884" spans="1:11" x14ac:dyDescent="0.2">
      <c r="A884" t="s">
        <v>0</v>
      </c>
      <c r="B884">
        <v>122</v>
      </c>
      <c r="C884" t="s">
        <v>23</v>
      </c>
      <c r="D884" t="s">
        <v>33</v>
      </c>
      <c r="E884" t="s">
        <v>34</v>
      </c>
      <c r="F884">
        <v>0</v>
      </c>
      <c r="G884">
        <v>0</v>
      </c>
      <c r="H884">
        <v>0</v>
      </c>
      <c r="I884">
        <v>2</v>
      </c>
      <c r="J884">
        <v>2</v>
      </c>
      <c r="K884">
        <v>0.2</v>
      </c>
    </row>
    <row r="885" spans="1:11" x14ac:dyDescent="0.2">
      <c r="A885" t="s">
        <v>0</v>
      </c>
      <c r="B885">
        <v>122</v>
      </c>
      <c r="C885" t="s">
        <v>27</v>
      </c>
      <c r="D885" t="s">
        <v>33</v>
      </c>
      <c r="E885" t="s">
        <v>60</v>
      </c>
      <c r="F885">
        <v>1</v>
      </c>
      <c r="G885">
        <v>1</v>
      </c>
      <c r="H885">
        <v>0</v>
      </c>
      <c r="I885">
        <v>0</v>
      </c>
      <c r="J885">
        <v>2</v>
      </c>
      <c r="K885">
        <v>1.75</v>
      </c>
    </row>
    <row r="886" spans="1:11" x14ac:dyDescent="0.2">
      <c r="A886" t="s">
        <v>0</v>
      </c>
      <c r="B886">
        <v>123</v>
      </c>
      <c r="C886" t="s">
        <v>11</v>
      </c>
      <c r="D886" t="s">
        <v>2</v>
      </c>
      <c r="E886" t="s">
        <v>30</v>
      </c>
      <c r="F886">
        <v>1</v>
      </c>
      <c r="G886">
        <v>0</v>
      </c>
      <c r="H886">
        <v>0</v>
      </c>
      <c r="I886">
        <v>0</v>
      </c>
      <c r="J886">
        <v>1</v>
      </c>
      <c r="K886">
        <v>1</v>
      </c>
    </row>
    <row r="887" spans="1:11" x14ac:dyDescent="0.2">
      <c r="A887" t="s">
        <v>0</v>
      </c>
      <c r="B887">
        <v>124</v>
      </c>
      <c r="C887" t="s">
        <v>4</v>
      </c>
      <c r="D887" t="s">
        <v>2</v>
      </c>
      <c r="E887" t="s">
        <v>5</v>
      </c>
      <c r="F887">
        <v>0</v>
      </c>
      <c r="G887">
        <v>0</v>
      </c>
      <c r="H887">
        <v>0</v>
      </c>
      <c r="I887">
        <v>2</v>
      </c>
      <c r="J887">
        <v>2</v>
      </c>
      <c r="K887">
        <v>0.2</v>
      </c>
    </row>
    <row r="888" spans="1:11" x14ac:dyDescent="0.2">
      <c r="A888" t="s">
        <v>0</v>
      </c>
      <c r="B888">
        <v>124</v>
      </c>
      <c r="C888" t="s">
        <v>4</v>
      </c>
      <c r="D888" t="s">
        <v>6</v>
      </c>
      <c r="E888" t="s">
        <v>5</v>
      </c>
      <c r="F888">
        <v>0</v>
      </c>
      <c r="G888">
        <v>0</v>
      </c>
      <c r="H888">
        <v>0</v>
      </c>
      <c r="I888">
        <v>2</v>
      </c>
      <c r="J888">
        <v>2</v>
      </c>
      <c r="K888">
        <v>0.2</v>
      </c>
    </row>
    <row r="889" spans="1:11" x14ac:dyDescent="0.2">
      <c r="A889" t="s">
        <v>0</v>
      </c>
      <c r="B889">
        <v>124</v>
      </c>
      <c r="C889" t="s">
        <v>4</v>
      </c>
      <c r="D889" t="s">
        <v>2</v>
      </c>
      <c r="E889" t="s">
        <v>70</v>
      </c>
      <c r="F889">
        <v>0</v>
      </c>
      <c r="G889">
        <v>1</v>
      </c>
      <c r="H889">
        <v>1</v>
      </c>
      <c r="I889">
        <v>0</v>
      </c>
      <c r="J889">
        <v>2</v>
      </c>
      <c r="K889">
        <v>1.25</v>
      </c>
    </row>
    <row r="890" spans="1:11" x14ac:dyDescent="0.2">
      <c r="A890" t="s">
        <v>0</v>
      </c>
      <c r="B890">
        <v>124</v>
      </c>
      <c r="C890" t="s">
        <v>4</v>
      </c>
      <c r="D890" t="s">
        <v>33</v>
      </c>
      <c r="E890" t="s">
        <v>65</v>
      </c>
      <c r="F890">
        <v>0</v>
      </c>
      <c r="G890">
        <v>0</v>
      </c>
      <c r="H890">
        <v>1</v>
      </c>
      <c r="I890">
        <v>0</v>
      </c>
      <c r="J890">
        <v>1</v>
      </c>
      <c r="K890">
        <v>0.5</v>
      </c>
    </row>
    <row r="891" spans="1:11" x14ac:dyDescent="0.2">
      <c r="A891" t="s">
        <v>0</v>
      </c>
      <c r="B891">
        <v>124</v>
      </c>
      <c r="C891" t="s">
        <v>11</v>
      </c>
      <c r="D891" t="s">
        <v>2</v>
      </c>
      <c r="E891" t="s">
        <v>66</v>
      </c>
      <c r="F891">
        <v>0</v>
      </c>
      <c r="G891">
        <v>0</v>
      </c>
      <c r="H891">
        <v>0</v>
      </c>
      <c r="I891">
        <v>2</v>
      </c>
      <c r="J891">
        <v>2</v>
      </c>
      <c r="K891">
        <v>0.2</v>
      </c>
    </row>
    <row r="892" spans="1:11" x14ac:dyDescent="0.2">
      <c r="A892" t="s">
        <v>0</v>
      </c>
      <c r="B892">
        <v>124</v>
      </c>
      <c r="C892" t="s">
        <v>1</v>
      </c>
      <c r="D892" t="s">
        <v>2</v>
      </c>
      <c r="E892" t="s">
        <v>99</v>
      </c>
      <c r="F892">
        <v>0</v>
      </c>
      <c r="G892">
        <v>0</v>
      </c>
      <c r="H892">
        <v>1</v>
      </c>
      <c r="I892">
        <v>0</v>
      </c>
      <c r="J892">
        <v>1</v>
      </c>
      <c r="K892">
        <v>0.5</v>
      </c>
    </row>
    <row r="893" spans="1:11" x14ac:dyDescent="0.2">
      <c r="A893" t="s">
        <v>0</v>
      </c>
      <c r="B893">
        <v>124</v>
      </c>
      <c r="C893" t="s">
        <v>15</v>
      </c>
      <c r="D893" t="s">
        <v>2</v>
      </c>
      <c r="E893" t="s">
        <v>66</v>
      </c>
      <c r="F893">
        <v>0</v>
      </c>
      <c r="G893">
        <v>0</v>
      </c>
      <c r="H893">
        <v>0</v>
      </c>
      <c r="I893">
        <v>2</v>
      </c>
      <c r="J893">
        <v>2</v>
      </c>
      <c r="K893">
        <v>0.2</v>
      </c>
    </row>
    <row r="894" spans="1:11" x14ac:dyDescent="0.2">
      <c r="A894" t="s">
        <v>0</v>
      </c>
      <c r="B894">
        <v>124</v>
      </c>
      <c r="C894" t="s">
        <v>15</v>
      </c>
      <c r="D894" t="s">
        <v>2</v>
      </c>
      <c r="E894" t="s">
        <v>46</v>
      </c>
      <c r="F894">
        <v>1</v>
      </c>
      <c r="G894">
        <v>0</v>
      </c>
      <c r="H894">
        <v>0</v>
      </c>
      <c r="I894">
        <v>0</v>
      </c>
      <c r="J894">
        <v>1</v>
      </c>
      <c r="K894">
        <v>1</v>
      </c>
    </row>
    <row r="895" spans="1:11" x14ac:dyDescent="0.2">
      <c r="A895" t="s">
        <v>0</v>
      </c>
      <c r="B895">
        <v>124</v>
      </c>
      <c r="C895" t="s">
        <v>15</v>
      </c>
      <c r="D895" t="s">
        <v>33</v>
      </c>
      <c r="E895" t="s">
        <v>67</v>
      </c>
      <c r="F895">
        <v>0</v>
      </c>
      <c r="G895">
        <v>0</v>
      </c>
      <c r="H895">
        <v>1</v>
      </c>
      <c r="I895">
        <v>0</v>
      </c>
      <c r="J895">
        <v>1</v>
      </c>
      <c r="K895">
        <v>0.5</v>
      </c>
    </row>
    <row r="896" spans="1:11" x14ac:dyDescent="0.2">
      <c r="A896" t="s">
        <v>0</v>
      </c>
      <c r="B896">
        <v>124</v>
      </c>
      <c r="C896" t="s">
        <v>18</v>
      </c>
      <c r="D896" t="s">
        <v>2</v>
      </c>
      <c r="E896" t="s">
        <v>21</v>
      </c>
      <c r="F896">
        <v>0</v>
      </c>
      <c r="G896">
        <v>0</v>
      </c>
      <c r="H896">
        <v>0</v>
      </c>
      <c r="I896">
        <v>1</v>
      </c>
      <c r="J896">
        <v>1</v>
      </c>
      <c r="K896">
        <v>0.1</v>
      </c>
    </row>
    <row r="897" spans="1:11" x14ac:dyDescent="0.2">
      <c r="A897" t="s">
        <v>0</v>
      </c>
      <c r="B897">
        <v>124</v>
      </c>
      <c r="C897" t="s">
        <v>18</v>
      </c>
      <c r="D897" t="s">
        <v>2</v>
      </c>
      <c r="E897" t="s">
        <v>54</v>
      </c>
      <c r="F897">
        <v>0</v>
      </c>
      <c r="G897">
        <v>0</v>
      </c>
      <c r="H897">
        <v>0</v>
      </c>
      <c r="I897">
        <v>3</v>
      </c>
      <c r="J897">
        <v>3</v>
      </c>
      <c r="K897">
        <v>0.3</v>
      </c>
    </row>
    <row r="898" spans="1:11" x14ac:dyDescent="0.2">
      <c r="A898" t="s">
        <v>0</v>
      </c>
      <c r="B898">
        <v>124</v>
      </c>
      <c r="C898" t="s">
        <v>23</v>
      </c>
      <c r="D898" t="s">
        <v>6</v>
      </c>
      <c r="E898" t="s">
        <v>24</v>
      </c>
      <c r="F898">
        <v>0</v>
      </c>
      <c r="G898">
        <v>0</v>
      </c>
      <c r="H898">
        <v>0</v>
      </c>
      <c r="I898">
        <v>1</v>
      </c>
      <c r="J898">
        <v>1</v>
      </c>
      <c r="K898">
        <v>0.1</v>
      </c>
    </row>
    <row r="899" spans="1:11" x14ac:dyDescent="0.2">
      <c r="A899" t="s">
        <v>0</v>
      </c>
      <c r="B899">
        <v>124</v>
      </c>
      <c r="C899" t="s">
        <v>27</v>
      </c>
      <c r="D899" t="s">
        <v>2</v>
      </c>
      <c r="E899" t="s">
        <v>5</v>
      </c>
      <c r="F899">
        <v>0</v>
      </c>
      <c r="G899">
        <v>0</v>
      </c>
      <c r="H899">
        <v>0</v>
      </c>
      <c r="I899">
        <v>2</v>
      </c>
      <c r="J899">
        <v>2</v>
      </c>
      <c r="K899">
        <v>0.2</v>
      </c>
    </row>
    <row r="900" spans="1:11" x14ac:dyDescent="0.2">
      <c r="A900" t="s">
        <v>0</v>
      </c>
      <c r="B900">
        <v>124</v>
      </c>
      <c r="C900" t="s">
        <v>27</v>
      </c>
      <c r="D900" t="s">
        <v>6</v>
      </c>
      <c r="E900" t="s">
        <v>100</v>
      </c>
      <c r="F900">
        <v>1</v>
      </c>
      <c r="G900">
        <v>0</v>
      </c>
      <c r="H900">
        <v>0</v>
      </c>
      <c r="I900">
        <v>0</v>
      </c>
      <c r="J900">
        <v>1</v>
      </c>
      <c r="K900">
        <v>1</v>
      </c>
    </row>
    <row r="901" spans="1:11" x14ac:dyDescent="0.2">
      <c r="A901" t="s">
        <v>0</v>
      </c>
      <c r="B901">
        <v>125</v>
      </c>
      <c r="C901" t="s">
        <v>4</v>
      </c>
      <c r="D901" t="s">
        <v>2</v>
      </c>
      <c r="E901" t="s">
        <v>5</v>
      </c>
      <c r="F901">
        <v>1</v>
      </c>
      <c r="G901">
        <v>0</v>
      </c>
      <c r="H901">
        <v>0</v>
      </c>
      <c r="I901">
        <v>2</v>
      </c>
      <c r="J901">
        <v>3</v>
      </c>
      <c r="K901">
        <v>1.2</v>
      </c>
    </row>
    <row r="902" spans="1:11" x14ac:dyDescent="0.2">
      <c r="A902" t="s">
        <v>0</v>
      </c>
      <c r="B902">
        <v>125</v>
      </c>
      <c r="C902" t="s">
        <v>4</v>
      </c>
      <c r="D902" t="s">
        <v>6</v>
      </c>
      <c r="E902" t="s">
        <v>5</v>
      </c>
      <c r="F902">
        <v>1</v>
      </c>
      <c r="G902">
        <v>0</v>
      </c>
      <c r="H902">
        <v>0</v>
      </c>
      <c r="I902">
        <v>2</v>
      </c>
      <c r="J902">
        <v>3</v>
      </c>
      <c r="K902">
        <v>1.2</v>
      </c>
    </row>
    <row r="903" spans="1:11" x14ac:dyDescent="0.2">
      <c r="A903" t="s">
        <v>0</v>
      </c>
      <c r="B903">
        <v>125</v>
      </c>
      <c r="C903" t="s">
        <v>4</v>
      </c>
      <c r="D903" t="s">
        <v>6</v>
      </c>
      <c r="E903" t="s">
        <v>45</v>
      </c>
      <c r="F903">
        <v>0</v>
      </c>
      <c r="G903">
        <v>0</v>
      </c>
      <c r="H903">
        <v>2</v>
      </c>
      <c r="I903">
        <v>0</v>
      </c>
      <c r="J903">
        <v>2</v>
      </c>
      <c r="K903">
        <v>1.2</v>
      </c>
    </row>
    <row r="904" spans="1:11" x14ac:dyDescent="0.2">
      <c r="A904" t="s">
        <v>0</v>
      </c>
      <c r="B904">
        <v>125</v>
      </c>
      <c r="C904" t="s">
        <v>4</v>
      </c>
      <c r="D904" t="s">
        <v>2</v>
      </c>
      <c r="E904" t="s">
        <v>32</v>
      </c>
      <c r="F904">
        <v>0</v>
      </c>
      <c r="G904">
        <v>0</v>
      </c>
      <c r="H904">
        <v>0</v>
      </c>
      <c r="I904">
        <v>2</v>
      </c>
      <c r="J904">
        <v>2</v>
      </c>
      <c r="K904">
        <v>0.2</v>
      </c>
    </row>
    <row r="905" spans="1:11" x14ac:dyDescent="0.2">
      <c r="A905" t="s">
        <v>0</v>
      </c>
      <c r="B905">
        <v>125</v>
      </c>
      <c r="C905" t="s">
        <v>11</v>
      </c>
      <c r="D905" t="s">
        <v>2</v>
      </c>
      <c r="E905" t="s">
        <v>66</v>
      </c>
      <c r="F905">
        <v>0</v>
      </c>
      <c r="G905">
        <v>0</v>
      </c>
      <c r="H905">
        <v>1</v>
      </c>
      <c r="I905">
        <v>1</v>
      </c>
      <c r="J905">
        <v>2</v>
      </c>
      <c r="K905">
        <v>0.6</v>
      </c>
    </row>
    <row r="906" spans="1:11" x14ac:dyDescent="0.2">
      <c r="A906" t="s">
        <v>0</v>
      </c>
      <c r="B906">
        <v>125</v>
      </c>
      <c r="C906" t="s">
        <v>1</v>
      </c>
      <c r="D906" t="s">
        <v>33</v>
      </c>
      <c r="E906" t="s">
        <v>45</v>
      </c>
      <c r="F906">
        <v>0</v>
      </c>
      <c r="G906">
        <v>0</v>
      </c>
      <c r="H906">
        <v>2</v>
      </c>
      <c r="I906">
        <v>0</v>
      </c>
      <c r="J906">
        <v>2</v>
      </c>
      <c r="K906">
        <v>1.2</v>
      </c>
    </row>
    <row r="907" spans="1:11" x14ac:dyDescent="0.2">
      <c r="A907" t="s">
        <v>0</v>
      </c>
      <c r="B907">
        <v>125</v>
      </c>
      <c r="C907" t="s">
        <v>15</v>
      </c>
      <c r="D907" t="s">
        <v>2</v>
      </c>
      <c r="E907" t="s">
        <v>66</v>
      </c>
      <c r="F907">
        <v>0</v>
      </c>
      <c r="G907">
        <v>0</v>
      </c>
      <c r="H907">
        <v>1</v>
      </c>
      <c r="I907">
        <v>1</v>
      </c>
      <c r="J907">
        <v>2</v>
      </c>
      <c r="K907">
        <v>0.6</v>
      </c>
    </row>
    <row r="908" spans="1:11" x14ac:dyDescent="0.2">
      <c r="A908" t="s">
        <v>0</v>
      </c>
      <c r="B908">
        <v>125</v>
      </c>
      <c r="C908" t="s">
        <v>18</v>
      </c>
      <c r="D908" t="s">
        <v>6</v>
      </c>
      <c r="E908" t="s">
        <v>22</v>
      </c>
      <c r="F908">
        <v>0</v>
      </c>
      <c r="G908">
        <v>0</v>
      </c>
      <c r="H908">
        <v>1</v>
      </c>
      <c r="I908">
        <v>0</v>
      </c>
      <c r="J908">
        <v>1</v>
      </c>
      <c r="K908">
        <v>0.5</v>
      </c>
    </row>
    <row r="909" spans="1:11" x14ac:dyDescent="0.2">
      <c r="A909" t="s">
        <v>0</v>
      </c>
      <c r="B909">
        <v>125</v>
      </c>
      <c r="C909" t="s">
        <v>23</v>
      </c>
      <c r="D909" t="s">
        <v>33</v>
      </c>
      <c r="E909" t="s">
        <v>34</v>
      </c>
      <c r="F909">
        <v>0</v>
      </c>
      <c r="G909">
        <v>0</v>
      </c>
      <c r="H909">
        <v>2</v>
      </c>
      <c r="I909">
        <v>0</v>
      </c>
      <c r="J909">
        <v>2</v>
      </c>
      <c r="K909">
        <v>1.2</v>
      </c>
    </row>
    <row r="910" spans="1:11" x14ac:dyDescent="0.2">
      <c r="A910" t="s">
        <v>0</v>
      </c>
      <c r="B910">
        <v>125</v>
      </c>
      <c r="C910" t="s">
        <v>23</v>
      </c>
      <c r="D910" t="s">
        <v>2</v>
      </c>
      <c r="E910" t="s">
        <v>58</v>
      </c>
      <c r="F910">
        <v>0</v>
      </c>
      <c r="G910">
        <v>1</v>
      </c>
      <c r="H910">
        <v>1</v>
      </c>
      <c r="I910">
        <v>0</v>
      </c>
      <c r="J910">
        <v>2</v>
      </c>
      <c r="K910">
        <v>1.35</v>
      </c>
    </row>
    <row r="911" spans="1:11" x14ac:dyDescent="0.2">
      <c r="A911" t="s">
        <v>0</v>
      </c>
      <c r="B911">
        <v>125</v>
      </c>
      <c r="C911" t="s">
        <v>27</v>
      </c>
      <c r="D911" t="s">
        <v>2</v>
      </c>
      <c r="E911" t="s">
        <v>5</v>
      </c>
      <c r="F911">
        <v>1</v>
      </c>
      <c r="G911">
        <v>0</v>
      </c>
      <c r="H911">
        <v>0</v>
      </c>
      <c r="I911">
        <v>2</v>
      </c>
      <c r="J911">
        <v>3</v>
      </c>
      <c r="K911">
        <v>1.2</v>
      </c>
    </row>
    <row r="912" spans="1:11" x14ac:dyDescent="0.2">
      <c r="A912" t="s">
        <v>0</v>
      </c>
      <c r="B912">
        <v>125</v>
      </c>
      <c r="C912" t="s">
        <v>27</v>
      </c>
      <c r="D912" t="s">
        <v>6</v>
      </c>
      <c r="E912" t="s">
        <v>28</v>
      </c>
      <c r="F912">
        <v>0</v>
      </c>
      <c r="G912">
        <v>1</v>
      </c>
      <c r="H912">
        <v>0</v>
      </c>
      <c r="I912">
        <v>0</v>
      </c>
      <c r="J912">
        <v>1</v>
      </c>
      <c r="K912">
        <v>0.75</v>
      </c>
    </row>
    <row r="913" spans="1:11" x14ac:dyDescent="0.2">
      <c r="A913" t="s">
        <v>0</v>
      </c>
      <c r="B913">
        <v>125</v>
      </c>
      <c r="C913" t="s">
        <v>27</v>
      </c>
      <c r="D913" t="s">
        <v>6</v>
      </c>
      <c r="E913" t="s">
        <v>41</v>
      </c>
      <c r="F913">
        <v>0</v>
      </c>
      <c r="G913">
        <v>0</v>
      </c>
      <c r="H913">
        <v>0</v>
      </c>
      <c r="I913">
        <v>1</v>
      </c>
      <c r="J913">
        <v>1</v>
      </c>
      <c r="K913">
        <v>0.1</v>
      </c>
    </row>
    <row r="914" spans="1:11" x14ac:dyDescent="0.2">
      <c r="A914" t="s">
        <v>0</v>
      </c>
      <c r="B914">
        <v>126</v>
      </c>
      <c r="C914" t="s">
        <v>4</v>
      </c>
      <c r="D914" t="s">
        <v>2</v>
      </c>
      <c r="E914" t="s">
        <v>75</v>
      </c>
      <c r="F914">
        <v>1</v>
      </c>
      <c r="G914">
        <v>0</v>
      </c>
      <c r="H914">
        <v>0</v>
      </c>
      <c r="I914">
        <v>0</v>
      </c>
      <c r="J914">
        <v>1</v>
      </c>
      <c r="K914">
        <v>1</v>
      </c>
    </row>
    <row r="915" spans="1:11" x14ac:dyDescent="0.2">
      <c r="A915" t="s">
        <v>0</v>
      </c>
      <c r="B915">
        <v>126</v>
      </c>
      <c r="C915" t="s">
        <v>4</v>
      </c>
      <c r="D915" t="s">
        <v>2</v>
      </c>
      <c r="E915" t="s">
        <v>43</v>
      </c>
      <c r="F915">
        <v>0</v>
      </c>
      <c r="G915">
        <v>1</v>
      </c>
      <c r="H915">
        <v>0</v>
      </c>
      <c r="I915">
        <v>0</v>
      </c>
      <c r="J915">
        <v>1</v>
      </c>
      <c r="K915">
        <v>0.75</v>
      </c>
    </row>
    <row r="916" spans="1:11" x14ac:dyDescent="0.2">
      <c r="A916" t="s">
        <v>0</v>
      </c>
      <c r="B916">
        <v>126</v>
      </c>
      <c r="C916" t="s">
        <v>15</v>
      </c>
      <c r="D916" t="s">
        <v>2</v>
      </c>
      <c r="E916" t="s">
        <v>46</v>
      </c>
      <c r="F916">
        <v>0</v>
      </c>
      <c r="G916">
        <v>0</v>
      </c>
      <c r="H916">
        <v>2</v>
      </c>
      <c r="I916">
        <v>2</v>
      </c>
      <c r="J916">
        <v>4</v>
      </c>
      <c r="K916">
        <v>1.2</v>
      </c>
    </row>
    <row r="917" spans="1:11" x14ac:dyDescent="0.2">
      <c r="A917" t="s">
        <v>0</v>
      </c>
      <c r="B917">
        <v>126</v>
      </c>
      <c r="C917" t="s">
        <v>18</v>
      </c>
      <c r="D917" t="s">
        <v>2</v>
      </c>
      <c r="E917" t="s">
        <v>21</v>
      </c>
      <c r="F917">
        <v>0</v>
      </c>
      <c r="G917">
        <v>0</v>
      </c>
      <c r="H917">
        <v>0</v>
      </c>
      <c r="I917">
        <v>1</v>
      </c>
      <c r="J917">
        <v>1</v>
      </c>
      <c r="K917">
        <v>0.1</v>
      </c>
    </row>
    <row r="918" spans="1:11" x14ac:dyDescent="0.2">
      <c r="A918" t="s">
        <v>0</v>
      </c>
      <c r="B918">
        <v>126</v>
      </c>
      <c r="C918" t="s">
        <v>18</v>
      </c>
      <c r="D918" t="s">
        <v>6</v>
      </c>
      <c r="E918" t="s">
        <v>22</v>
      </c>
      <c r="F918">
        <v>1</v>
      </c>
      <c r="G918">
        <v>0</v>
      </c>
      <c r="H918">
        <v>1</v>
      </c>
      <c r="I918">
        <v>0</v>
      </c>
      <c r="J918">
        <v>2</v>
      </c>
      <c r="K918">
        <v>1.5</v>
      </c>
    </row>
    <row r="919" spans="1:11" x14ac:dyDescent="0.2">
      <c r="A919" t="s">
        <v>0</v>
      </c>
      <c r="B919">
        <v>126</v>
      </c>
      <c r="C919" t="s">
        <v>27</v>
      </c>
      <c r="D919" t="s">
        <v>6</v>
      </c>
      <c r="E919" t="s">
        <v>84</v>
      </c>
      <c r="F919">
        <v>0</v>
      </c>
      <c r="G919">
        <v>4</v>
      </c>
      <c r="H919">
        <v>0</v>
      </c>
      <c r="I919">
        <v>0</v>
      </c>
      <c r="J919">
        <v>4</v>
      </c>
      <c r="K919">
        <v>3</v>
      </c>
    </row>
    <row r="920" spans="1:11" x14ac:dyDescent="0.2">
      <c r="A920" t="s">
        <v>0</v>
      </c>
      <c r="B920">
        <v>126</v>
      </c>
      <c r="C920" t="s">
        <v>27</v>
      </c>
      <c r="D920" t="s">
        <v>6</v>
      </c>
      <c r="E920" t="s">
        <v>72</v>
      </c>
      <c r="F920">
        <v>2</v>
      </c>
      <c r="G920">
        <v>0</v>
      </c>
      <c r="H920">
        <v>2</v>
      </c>
      <c r="I920">
        <v>0</v>
      </c>
      <c r="J920">
        <v>4</v>
      </c>
      <c r="K920">
        <v>3</v>
      </c>
    </row>
    <row r="921" spans="1:11" x14ac:dyDescent="0.2">
      <c r="A921" t="s">
        <v>0</v>
      </c>
      <c r="B921">
        <v>126</v>
      </c>
      <c r="C921" t="s">
        <v>27</v>
      </c>
      <c r="D921" t="s">
        <v>2</v>
      </c>
      <c r="E921" t="s">
        <v>83</v>
      </c>
      <c r="F921">
        <v>2</v>
      </c>
      <c r="G921">
        <v>0</v>
      </c>
      <c r="H921">
        <v>1</v>
      </c>
      <c r="I921">
        <v>0</v>
      </c>
      <c r="J921">
        <v>3</v>
      </c>
      <c r="K921">
        <v>2.5</v>
      </c>
    </row>
    <row r="922" spans="1:11" x14ac:dyDescent="0.2">
      <c r="A922" t="s">
        <v>0</v>
      </c>
      <c r="B922">
        <v>126</v>
      </c>
      <c r="C922" t="s">
        <v>27</v>
      </c>
      <c r="D922" t="s">
        <v>6</v>
      </c>
      <c r="E922" t="s">
        <v>83</v>
      </c>
      <c r="F922">
        <v>2</v>
      </c>
      <c r="G922">
        <v>0</v>
      </c>
      <c r="H922">
        <v>1</v>
      </c>
      <c r="I922">
        <v>0</v>
      </c>
      <c r="J922">
        <v>3</v>
      </c>
      <c r="K922">
        <v>2.5</v>
      </c>
    </row>
    <row r="923" spans="1:11" x14ac:dyDescent="0.2">
      <c r="A923" t="s">
        <v>0</v>
      </c>
      <c r="B923">
        <v>127</v>
      </c>
      <c r="C923" t="s">
        <v>4</v>
      </c>
      <c r="D923" t="s">
        <v>2</v>
      </c>
      <c r="E923" t="s">
        <v>75</v>
      </c>
      <c r="F923">
        <v>1</v>
      </c>
      <c r="G923">
        <v>0</v>
      </c>
      <c r="H923">
        <v>1</v>
      </c>
      <c r="I923">
        <v>0</v>
      </c>
      <c r="J923">
        <v>2</v>
      </c>
      <c r="K923">
        <v>1.5</v>
      </c>
    </row>
    <row r="924" spans="1:11" x14ac:dyDescent="0.2">
      <c r="A924" t="s">
        <v>0</v>
      </c>
      <c r="B924">
        <v>127</v>
      </c>
      <c r="C924" t="s">
        <v>4</v>
      </c>
      <c r="D924" t="s">
        <v>2</v>
      </c>
      <c r="E924" t="s">
        <v>43</v>
      </c>
      <c r="F924">
        <v>0</v>
      </c>
      <c r="G924">
        <v>1</v>
      </c>
      <c r="H924">
        <v>1</v>
      </c>
      <c r="I924">
        <v>0</v>
      </c>
      <c r="J924">
        <v>2</v>
      </c>
      <c r="K924">
        <v>1.25</v>
      </c>
    </row>
    <row r="925" spans="1:11" x14ac:dyDescent="0.2">
      <c r="A925" t="s">
        <v>0</v>
      </c>
      <c r="B925">
        <v>127</v>
      </c>
      <c r="C925" t="s">
        <v>4</v>
      </c>
      <c r="D925" t="s">
        <v>2</v>
      </c>
      <c r="E925" t="s">
        <v>32</v>
      </c>
      <c r="F925">
        <v>0</v>
      </c>
      <c r="G925">
        <v>0</v>
      </c>
      <c r="H925">
        <v>0</v>
      </c>
      <c r="I925">
        <v>1</v>
      </c>
      <c r="J925">
        <v>1</v>
      </c>
      <c r="K925">
        <v>0.1</v>
      </c>
    </row>
    <row r="926" spans="1:11" x14ac:dyDescent="0.2">
      <c r="A926" t="s">
        <v>0</v>
      </c>
      <c r="B926">
        <v>127</v>
      </c>
      <c r="C926" t="s">
        <v>11</v>
      </c>
      <c r="D926" t="s">
        <v>2</v>
      </c>
      <c r="E926" t="s">
        <v>66</v>
      </c>
      <c r="F926">
        <v>0</v>
      </c>
      <c r="G926">
        <v>0</v>
      </c>
      <c r="H926">
        <v>1</v>
      </c>
      <c r="I926">
        <v>0</v>
      </c>
      <c r="J926">
        <v>1</v>
      </c>
      <c r="K926">
        <v>0.5</v>
      </c>
    </row>
    <row r="927" spans="1:11" x14ac:dyDescent="0.2">
      <c r="A927" t="s">
        <v>0</v>
      </c>
      <c r="B927">
        <v>127</v>
      </c>
      <c r="C927" t="s">
        <v>11</v>
      </c>
      <c r="D927" t="s">
        <v>2</v>
      </c>
      <c r="E927" t="s">
        <v>101</v>
      </c>
      <c r="F927">
        <v>0</v>
      </c>
      <c r="G927">
        <v>0</v>
      </c>
      <c r="H927">
        <v>2</v>
      </c>
      <c r="I927">
        <v>1</v>
      </c>
      <c r="J927">
        <v>3</v>
      </c>
      <c r="K927">
        <v>1.3</v>
      </c>
    </row>
    <row r="928" spans="1:11" x14ac:dyDescent="0.2">
      <c r="A928" t="s">
        <v>0</v>
      </c>
      <c r="B928">
        <v>127</v>
      </c>
      <c r="C928" t="s">
        <v>11</v>
      </c>
      <c r="D928" t="s">
        <v>2</v>
      </c>
      <c r="E928" t="s">
        <v>88</v>
      </c>
      <c r="F928">
        <v>0</v>
      </c>
      <c r="G928">
        <v>0</v>
      </c>
      <c r="H928">
        <v>1</v>
      </c>
      <c r="I928">
        <v>0</v>
      </c>
      <c r="J928">
        <v>1</v>
      </c>
      <c r="K928">
        <v>0.5</v>
      </c>
    </row>
    <row r="929" spans="1:11" x14ac:dyDescent="0.2">
      <c r="A929" t="s">
        <v>0</v>
      </c>
      <c r="B929">
        <v>127</v>
      </c>
      <c r="C929" t="s">
        <v>15</v>
      </c>
      <c r="D929" t="s">
        <v>2</v>
      </c>
      <c r="E929" t="s">
        <v>66</v>
      </c>
      <c r="F929">
        <v>0</v>
      </c>
      <c r="G929">
        <v>0</v>
      </c>
      <c r="H929">
        <v>1</v>
      </c>
      <c r="I929">
        <v>0</v>
      </c>
      <c r="J929">
        <v>1</v>
      </c>
      <c r="K929">
        <v>0.5</v>
      </c>
    </row>
    <row r="930" spans="1:11" x14ac:dyDescent="0.2">
      <c r="A930" t="s">
        <v>0</v>
      </c>
      <c r="B930">
        <v>127</v>
      </c>
      <c r="C930" t="s">
        <v>18</v>
      </c>
      <c r="D930" t="s">
        <v>2</v>
      </c>
      <c r="E930" t="s">
        <v>21</v>
      </c>
      <c r="F930">
        <v>0</v>
      </c>
      <c r="G930">
        <v>0</v>
      </c>
      <c r="H930">
        <v>0</v>
      </c>
      <c r="I930">
        <v>1</v>
      </c>
      <c r="J930">
        <v>1</v>
      </c>
      <c r="K930">
        <v>0.1</v>
      </c>
    </row>
    <row r="931" spans="1:11" x14ac:dyDescent="0.2">
      <c r="A931" t="s">
        <v>0</v>
      </c>
      <c r="B931">
        <v>127</v>
      </c>
      <c r="C931" t="s">
        <v>18</v>
      </c>
      <c r="D931" t="s">
        <v>6</v>
      </c>
      <c r="E931" t="s">
        <v>22</v>
      </c>
      <c r="F931">
        <v>1</v>
      </c>
      <c r="G931">
        <v>0</v>
      </c>
      <c r="H931">
        <v>0</v>
      </c>
      <c r="I931">
        <v>1</v>
      </c>
      <c r="J931">
        <v>2</v>
      </c>
      <c r="K931">
        <v>1.1000000000000001</v>
      </c>
    </row>
    <row r="932" spans="1:11" x14ac:dyDescent="0.2">
      <c r="A932" t="s">
        <v>0</v>
      </c>
      <c r="B932">
        <v>127</v>
      </c>
      <c r="C932" t="s">
        <v>18</v>
      </c>
      <c r="D932" t="s">
        <v>2</v>
      </c>
      <c r="E932" t="s">
        <v>57</v>
      </c>
      <c r="F932">
        <v>0</v>
      </c>
      <c r="G932">
        <v>0</v>
      </c>
      <c r="H932">
        <v>1</v>
      </c>
      <c r="I932">
        <v>0</v>
      </c>
      <c r="J932">
        <v>1</v>
      </c>
      <c r="K932">
        <v>0.5</v>
      </c>
    </row>
    <row r="933" spans="1:11" x14ac:dyDescent="0.2">
      <c r="A933" t="s">
        <v>0</v>
      </c>
      <c r="B933">
        <v>127</v>
      </c>
      <c r="C933" t="s">
        <v>18</v>
      </c>
      <c r="D933" t="s">
        <v>6</v>
      </c>
      <c r="E933" t="s">
        <v>57</v>
      </c>
      <c r="F933">
        <v>0</v>
      </c>
      <c r="G933">
        <v>0</v>
      </c>
      <c r="H933">
        <v>1</v>
      </c>
      <c r="I933">
        <v>0</v>
      </c>
      <c r="J933">
        <v>1</v>
      </c>
      <c r="K933">
        <v>0.5</v>
      </c>
    </row>
    <row r="934" spans="1:11" x14ac:dyDescent="0.2">
      <c r="A934" t="s">
        <v>0</v>
      </c>
      <c r="B934">
        <v>127</v>
      </c>
      <c r="C934" t="s">
        <v>23</v>
      </c>
      <c r="D934" t="s">
        <v>33</v>
      </c>
      <c r="E934" t="s">
        <v>34</v>
      </c>
      <c r="F934">
        <v>0</v>
      </c>
      <c r="G934">
        <v>0</v>
      </c>
      <c r="H934">
        <v>0</v>
      </c>
      <c r="I934">
        <v>1</v>
      </c>
      <c r="J934">
        <v>1</v>
      </c>
      <c r="K934">
        <v>0.1</v>
      </c>
    </row>
    <row r="935" spans="1:11" x14ac:dyDescent="0.2">
      <c r="A935" t="s">
        <v>0</v>
      </c>
      <c r="B935">
        <v>127</v>
      </c>
      <c r="C935" t="s">
        <v>27</v>
      </c>
      <c r="D935" t="s">
        <v>6</v>
      </c>
      <c r="E935" t="s">
        <v>84</v>
      </c>
      <c r="F935">
        <v>0</v>
      </c>
      <c r="G935">
        <v>1</v>
      </c>
      <c r="H935">
        <v>0</v>
      </c>
      <c r="I935">
        <v>0</v>
      </c>
      <c r="J935">
        <v>1</v>
      </c>
      <c r="K935">
        <v>0.75</v>
      </c>
    </row>
    <row r="936" spans="1:11" x14ac:dyDescent="0.2">
      <c r="A936" t="s">
        <v>0</v>
      </c>
      <c r="B936">
        <v>127</v>
      </c>
      <c r="C936" t="s">
        <v>27</v>
      </c>
      <c r="D936" t="s">
        <v>2</v>
      </c>
      <c r="E936" t="s">
        <v>31</v>
      </c>
      <c r="F936">
        <v>1</v>
      </c>
      <c r="G936">
        <v>0</v>
      </c>
      <c r="H936">
        <v>0</v>
      </c>
      <c r="I936">
        <v>0</v>
      </c>
      <c r="J936">
        <v>1</v>
      </c>
      <c r="K936">
        <v>1</v>
      </c>
    </row>
    <row r="937" spans="1:11" x14ac:dyDescent="0.2">
      <c r="A937" t="s">
        <v>0</v>
      </c>
      <c r="B937">
        <v>127</v>
      </c>
      <c r="C937" t="s">
        <v>27</v>
      </c>
      <c r="D937" t="s">
        <v>6</v>
      </c>
      <c r="E937" t="s">
        <v>72</v>
      </c>
      <c r="F937">
        <v>4</v>
      </c>
      <c r="G937">
        <v>0</v>
      </c>
      <c r="H937">
        <v>0</v>
      </c>
      <c r="I937">
        <v>1</v>
      </c>
      <c r="J937">
        <v>5</v>
      </c>
      <c r="K937">
        <v>4.0999999999999996</v>
      </c>
    </row>
    <row r="938" spans="1:11" x14ac:dyDescent="0.2">
      <c r="A938" t="s">
        <v>0</v>
      </c>
      <c r="B938">
        <v>127</v>
      </c>
      <c r="C938" t="s">
        <v>27</v>
      </c>
      <c r="D938" t="s">
        <v>33</v>
      </c>
      <c r="E938" t="s">
        <v>91</v>
      </c>
      <c r="F938">
        <v>0</v>
      </c>
      <c r="G938">
        <v>0</v>
      </c>
      <c r="H938">
        <v>1</v>
      </c>
      <c r="I938">
        <v>0</v>
      </c>
      <c r="J938">
        <v>1</v>
      </c>
      <c r="K938">
        <v>0.5</v>
      </c>
    </row>
    <row r="939" spans="1:11" x14ac:dyDescent="0.2">
      <c r="A939" t="s">
        <v>0</v>
      </c>
      <c r="B939">
        <v>128</v>
      </c>
      <c r="C939" t="s">
        <v>18</v>
      </c>
      <c r="D939" t="s">
        <v>2</v>
      </c>
      <c r="E939" t="s">
        <v>21</v>
      </c>
      <c r="F939">
        <v>0</v>
      </c>
      <c r="G939">
        <v>0</v>
      </c>
      <c r="H939">
        <v>0</v>
      </c>
      <c r="I939">
        <v>1</v>
      </c>
      <c r="J939">
        <v>1</v>
      </c>
      <c r="K939">
        <v>0.1</v>
      </c>
    </row>
    <row r="940" spans="1:11" x14ac:dyDescent="0.2">
      <c r="A940" t="s">
        <v>0</v>
      </c>
      <c r="B940">
        <v>128</v>
      </c>
      <c r="C940" t="s">
        <v>27</v>
      </c>
      <c r="D940" t="s">
        <v>2</v>
      </c>
      <c r="E940" t="s">
        <v>86</v>
      </c>
      <c r="F940">
        <v>0</v>
      </c>
      <c r="G940">
        <v>0</v>
      </c>
      <c r="H940">
        <v>0</v>
      </c>
      <c r="I940">
        <v>1</v>
      </c>
      <c r="J940">
        <v>1</v>
      </c>
      <c r="K940">
        <v>0.1</v>
      </c>
    </row>
    <row r="941" spans="1:11" x14ac:dyDescent="0.2">
      <c r="A941" t="s">
        <v>0</v>
      </c>
      <c r="B941">
        <v>129</v>
      </c>
      <c r="C941" t="s">
        <v>4</v>
      </c>
      <c r="D941" t="s">
        <v>2</v>
      </c>
      <c r="E941" t="s">
        <v>9</v>
      </c>
      <c r="F941">
        <v>0</v>
      </c>
      <c r="G941">
        <v>0</v>
      </c>
      <c r="H941">
        <v>2</v>
      </c>
      <c r="I941">
        <v>0</v>
      </c>
      <c r="J941">
        <v>2</v>
      </c>
      <c r="K941">
        <v>1</v>
      </c>
    </row>
    <row r="942" spans="1:11" x14ac:dyDescent="0.2">
      <c r="A942" t="s">
        <v>0</v>
      </c>
      <c r="B942">
        <v>129</v>
      </c>
      <c r="C942" t="s">
        <v>4</v>
      </c>
      <c r="D942" t="s">
        <v>2</v>
      </c>
      <c r="E942" t="s">
        <v>32</v>
      </c>
      <c r="F942">
        <v>0</v>
      </c>
      <c r="G942">
        <v>0</v>
      </c>
      <c r="H942">
        <v>1</v>
      </c>
      <c r="I942">
        <v>0</v>
      </c>
      <c r="J942">
        <v>1</v>
      </c>
      <c r="K942">
        <v>0.5</v>
      </c>
    </row>
    <row r="943" spans="1:11" x14ac:dyDescent="0.2">
      <c r="A943" t="s">
        <v>0</v>
      </c>
      <c r="B943">
        <v>129</v>
      </c>
      <c r="C943" t="s">
        <v>1</v>
      </c>
      <c r="D943" t="s">
        <v>2</v>
      </c>
      <c r="E943" t="s">
        <v>99</v>
      </c>
      <c r="F943">
        <v>0</v>
      </c>
      <c r="G943">
        <v>0</v>
      </c>
      <c r="H943">
        <v>1</v>
      </c>
      <c r="I943">
        <v>0</v>
      </c>
      <c r="J943">
        <v>1</v>
      </c>
      <c r="K943">
        <v>0.5</v>
      </c>
    </row>
    <row r="944" spans="1:11" x14ac:dyDescent="0.2">
      <c r="A944" t="s">
        <v>0</v>
      </c>
      <c r="B944">
        <v>129</v>
      </c>
      <c r="C944" t="s">
        <v>15</v>
      </c>
      <c r="D944" t="s">
        <v>2</v>
      </c>
      <c r="E944" t="s">
        <v>77</v>
      </c>
      <c r="F944">
        <v>0</v>
      </c>
      <c r="G944">
        <v>0</v>
      </c>
      <c r="H944">
        <v>1</v>
      </c>
      <c r="I944">
        <v>0</v>
      </c>
      <c r="J944">
        <v>1</v>
      </c>
      <c r="K944">
        <v>0.5</v>
      </c>
    </row>
    <row r="945" spans="1:11" x14ac:dyDescent="0.2">
      <c r="A945" t="s">
        <v>0</v>
      </c>
      <c r="B945">
        <v>129</v>
      </c>
      <c r="C945" t="s">
        <v>18</v>
      </c>
      <c r="D945" t="s">
        <v>2</v>
      </c>
      <c r="E945" t="s">
        <v>21</v>
      </c>
      <c r="F945">
        <v>1</v>
      </c>
      <c r="G945">
        <v>0</v>
      </c>
      <c r="H945">
        <v>0</v>
      </c>
      <c r="I945">
        <v>2</v>
      </c>
      <c r="J945">
        <v>3</v>
      </c>
      <c r="K945">
        <v>1.2</v>
      </c>
    </row>
    <row r="946" spans="1:11" x14ac:dyDescent="0.2">
      <c r="A946" t="s">
        <v>0</v>
      </c>
      <c r="B946">
        <v>129</v>
      </c>
      <c r="C946" t="s">
        <v>23</v>
      </c>
      <c r="D946" t="s">
        <v>33</v>
      </c>
      <c r="E946" t="s">
        <v>34</v>
      </c>
      <c r="F946">
        <v>0</v>
      </c>
      <c r="G946">
        <v>0</v>
      </c>
      <c r="H946">
        <v>1</v>
      </c>
      <c r="I946">
        <v>0</v>
      </c>
      <c r="J946">
        <v>1</v>
      </c>
      <c r="K946">
        <v>0.6</v>
      </c>
    </row>
    <row r="947" spans="1:11" x14ac:dyDescent="0.2">
      <c r="A947" t="s">
        <v>0</v>
      </c>
      <c r="B947">
        <v>129</v>
      </c>
      <c r="C947" t="s">
        <v>23</v>
      </c>
      <c r="D947" t="s">
        <v>33</v>
      </c>
      <c r="E947" t="s">
        <v>40</v>
      </c>
      <c r="F947">
        <v>0</v>
      </c>
      <c r="G947">
        <v>1</v>
      </c>
      <c r="H947">
        <v>0</v>
      </c>
      <c r="I947">
        <v>0</v>
      </c>
      <c r="J947">
        <v>1</v>
      </c>
      <c r="K947">
        <v>0.75</v>
      </c>
    </row>
    <row r="948" spans="1:11" x14ac:dyDescent="0.2">
      <c r="A948" t="s">
        <v>0</v>
      </c>
      <c r="B948">
        <v>129</v>
      </c>
      <c r="C948" t="s">
        <v>27</v>
      </c>
      <c r="D948" t="s">
        <v>2</v>
      </c>
      <c r="E948" t="s">
        <v>86</v>
      </c>
      <c r="F948">
        <v>0</v>
      </c>
      <c r="G948">
        <v>0</v>
      </c>
      <c r="H948">
        <v>0</v>
      </c>
      <c r="I948">
        <v>1</v>
      </c>
      <c r="J948">
        <v>1</v>
      </c>
      <c r="K948">
        <v>0.1</v>
      </c>
    </row>
    <row r="949" spans="1:11" x14ac:dyDescent="0.2">
      <c r="A949" t="s">
        <v>0</v>
      </c>
      <c r="B949">
        <v>129</v>
      </c>
      <c r="C949" t="s">
        <v>27</v>
      </c>
      <c r="D949" t="s">
        <v>6</v>
      </c>
      <c r="E949" t="s">
        <v>72</v>
      </c>
      <c r="F949">
        <v>1</v>
      </c>
      <c r="G949">
        <v>0</v>
      </c>
      <c r="H949">
        <v>0</v>
      </c>
      <c r="I949">
        <v>0</v>
      </c>
      <c r="J949">
        <v>1</v>
      </c>
      <c r="K949">
        <v>1</v>
      </c>
    </row>
    <row r="950" spans="1:11" x14ac:dyDescent="0.2">
      <c r="A950" t="s">
        <v>0</v>
      </c>
      <c r="B950">
        <v>129</v>
      </c>
      <c r="C950" t="s">
        <v>27</v>
      </c>
      <c r="D950" t="s">
        <v>6</v>
      </c>
      <c r="E950" t="s">
        <v>100</v>
      </c>
      <c r="F950">
        <v>0</v>
      </c>
      <c r="G950">
        <v>0</v>
      </c>
      <c r="H950">
        <v>1</v>
      </c>
      <c r="I950">
        <v>0</v>
      </c>
      <c r="J950">
        <v>1</v>
      </c>
      <c r="K950">
        <v>0.5</v>
      </c>
    </row>
    <row r="951" spans="1:11" x14ac:dyDescent="0.2">
      <c r="A951" t="s">
        <v>0</v>
      </c>
      <c r="B951">
        <v>129</v>
      </c>
      <c r="C951" t="s">
        <v>27</v>
      </c>
      <c r="D951" t="s">
        <v>2</v>
      </c>
      <c r="E951" t="s">
        <v>102</v>
      </c>
      <c r="F951">
        <v>0</v>
      </c>
      <c r="G951">
        <v>0</v>
      </c>
      <c r="H951">
        <v>1</v>
      </c>
      <c r="I951">
        <v>0</v>
      </c>
      <c r="J951">
        <v>1</v>
      </c>
      <c r="K951">
        <v>0.5</v>
      </c>
    </row>
    <row r="952" spans="1:11" x14ac:dyDescent="0.2">
      <c r="A952" t="s">
        <v>0</v>
      </c>
      <c r="B952">
        <v>129</v>
      </c>
      <c r="C952" t="s">
        <v>27</v>
      </c>
      <c r="D952" t="s">
        <v>6</v>
      </c>
      <c r="E952" t="s">
        <v>102</v>
      </c>
      <c r="F952">
        <v>0</v>
      </c>
      <c r="G952">
        <v>0</v>
      </c>
      <c r="H952">
        <v>1</v>
      </c>
      <c r="I952">
        <v>0</v>
      </c>
      <c r="J952">
        <v>1</v>
      </c>
      <c r="K952">
        <v>0.5</v>
      </c>
    </row>
    <row r="953" spans="1:11" x14ac:dyDescent="0.2">
      <c r="A953" t="s">
        <v>0</v>
      </c>
      <c r="B953">
        <v>130</v>
      </c>
      <c r="C953" t="s">
        <v>1</v>
      </c>
      <c r="D953" t="s">
        <v>2</v>
      </c>
      <c r="E953" t="s">
        <v>103</v>
      </c>
      <c r="F953">
        <v>0</v>
      </c>
      <c r="G953">
        <v>0</v>
      </c>
      <c r="H953">
        <v>0</v>
      </c>
      <c r="I953">
        <v>1</v>
      </c>
      <c r="J953">
        <v>1</v>
      </c>
      <c r="K953">
        <v>0.1</v>
      </c>
    </row>
    <row r="954" spans="1:11" x14ac:dyDescent="0.2">
      <c r="A954" t="s">
        <v>0</v>
      </c>
      <c r="B954">
        <v>130</v>
      </c>
      <c r="C954" t="s">
        <v>1</v>
      </c>
      <c r="D954" t="s">
        <v>6</v>
      </c>
      <c r="E954" t="s">
        <v>103</v>
      </c>
      <c r="F954">
        <v>0</v>
      </c>
      <c r="G954">
        <v>0</v>
      </c>
      <c r="H954">
        <v>0</v>
      </c>
      <c r="I954">
        <v>1</v>
      </c>
      <c r="J954">
        <v>1</v>
      </c>
      <c r="K954">
        <v>0.1</v>
      </c>
    </row>
    <row r="955" spans="1:11" x14ac:dyDescent="0.2">
      <c r="A955" t="s">
        <v>0</v>
      </c>
      <c r="B955">
        <v>130</v>
      </c>
      <c r="C955" t="s">
        <v>15</v>
      </c>
      <c r="D955" t="s">
        <v>2</v>
      </c>
      <c r="E955" t="s">
        <v>16</v>
      </c>
      <c r="F955">
        <v>0</v>
      </c>
      <c r="G955">
        <v>0</v>
      </c>
      <c r="H955">
        <v>0</v>
      </c>
      <c r="I955">
        <v>1</v>
      </c>
      <c r="J955">
        <v>1</v>
      </c>
      <c r="K955">
        <v>0.1</v>
      </c>
    </row>
    <row r="956" spans="1:11" x14ac:dyDescent="0.2">
      <c r="A956" t="s">
        <v>0</v>
      </c>
      <c r="B956">
        <v>130</v>
      </c>
      <c r="C956" t="s">
        <v>18</v>
      </c>
      <c r="D956" t="s">
        <v>2</v>
      </c>
      <c r="E956" t="s">
        <v>21</v>
      </c>
      <c r="F956">
        <v>0</v>
      </c>
      <c r="G956">
        <v>0</v>
      </c>
      <c r="H956">
        <v>0</v>
      </c>
      <c r="I956">
        <v>1</v>
      </c>
      <c r="J956">
        <v>1</v>
      </c>
      <c r="K956">
        <v>0.1</v>
      </c>
    </row>
    <row r="957" spans="1:11" x14ac:dyDescent="0.2">
      <c r="A957" t="s">
        <v>0</v>
      </c>
      <c r="B957">
        <v>130</v>
      </c>
      <c r="C957" t="s">
        <v>18</v>
      </c>
      <c r="D957" t="s">
        <v>6</v>
      </c>
      <c r="E957" t="s">
        <v>22</v>
      </c>
      <c r="F957">
        <v>1</v>
      </c>
      <c r="G957">
        <v>0</v>
      </c>
      <c r="H957">
        <v>0</v>
      </c>
      <c r="I957">
        <v>0</v>
      </c>
      <c r="J957">
        <v>1</v>
      </c>
      <c r="K957">
        <v>1</v>
      </c>
    </row>
    <row r="958" spans="1:11" x14ac:dyDescent="0.2">
      <c r="A958" t="s">
        <v>0</v>
      </c>
      <c r="B958">
        <v>130</v>
      </c>
      <c r="C958" t="s">
        <v>18</v>
      </c>
      <c r="D958" t="s">
        <v>33</v>
      </c>
      <c r="E958" t="s">
        <v>104</v>
      </c>
      <c r="F958">
        <v>0</v>
      </c>
      <c r="G958">
        <v>0</v>
      </c>
      <c r="H958">
        <v>1</v>
      </c>
      <c r="I958">
        <v>0</v>
      </c>
      <c r="J958">
        <v>1</v>
      </c>
      <c r="K958">
        <v>0.5</v>
      </c>
    </row>
    <row r="959" spans="1:11" x14ac:dyDescent="0.2">
      <c r="A959" t="s">
        <v>0</v>
      </c>
      <c r="B959">
        <v>130</v>
      </c>
      <c r="C959" t="s">
        <v>23</v>
      </c>
      <c r="D959" t="s">
        <v>33</v>
      </c>
      <c r="E959" t="s">
        <v>104</v>
      </c>
      <c r="F959">
        <v>0</v>
      </c>
      <c r="G959">
        <v>0</v>
      </c>
      <c r="H959">
        <v>1</v>
      </c>
      <c r="I959">
        <v>0</v>
      </c>
      <c r="J959">
        <v>1</v>
      </c>
      <c r="K959">
        <v>0.5</v>
      </c>
    </row>
    <row r="960" spans="1:11" x14ac:dyDescent="0.2">
      <c r="A960" t="s">
        <v>0</v>
      </c>
      <c r="B960">
        <v>130</v>
      </c>
      <c r="C960" t="s">
        <v>27</v>
      </c>
      <c r="D960" t="s">
        <v>2</v>
      </c>
      <c r="E960" t="s">
        <v>103</v>
      </c>
      <c r="F960">
        <v>0</v>
      </c>
      <c r="G960">
        <v>0</v>
      </c>
      <c r="H960">
        <v>0</v>
      </c>
      <c r="I960">
        <v>1</v>
      </c>
      <c r="J960">
        <v>1</v>
      </c>
      <c r="K960">
        <v>0.1</v>
      </c>
    </row>
    <row r="961" spans="1:11" x14ac:dyDescent="0.2">
      <c r="A961" t="s">
        <v>0</v>
      </c>
      <c r="B961">
        <v>130</v>
      </c>
      <c r="C961" t="s">
        <v>27</v>
      </c>
      <c r="D961" t="s">
        <v>6</v>
      </c>
      <c r="E961" t="s">
        <v>103</v>
      </c>
      <c r="F961">
        <v>0</v>
      </c>
      <c r="G961">
        <v>0</v>
      </c>
      <c r="H961">
        <v>0</v>
      </c>
      <c r="I961">
        <v>1</v>
      </c>
      <c r="J961">
        <v>1</v>
      </c>
      <c r="K961">
        <v>0.1</v>
      </c>
    </row>
    <row r="962" spans="1:11" x14ac:dyDescent="0.2">
      <c r="A962" t="s">
        <v>0</v>
      </c>
      <c r="B962">
        <v>130</v>
      </c>
      <c r="C962" t="s">
        <v>27</v>
      </c>
      <c r="D962" t="s">
        <v>6</v>
      </c>
      <c r="E962" t="s">
        <v>72</v>
      </c>
      <c r="F962">
        <v>2</v>
      </c>
      <c r="G962">
        <v>0</v>
      </c>
      <c r="H962">
        <v>0</v>
      </c>
      <c r="I962">
        <v>0</v>
      </c>
      <c r="J962">
        <v>2</v>
      </c>
      <c r="K962">
        <v>2</v>
      </c>
    </row>
    <row r="963" spans="1:11" x14ac:dyDescent="0.2">
      <c r="A963" t="s">
        <v>0</v>
      </c>
      <c r="B963">
        <v>131</v>
      </c>
      <c r="C963" t="s">
        <v>4</v>
      </c>
      <c r="D963" t="s">
        <v>2</v>
      </c>
      <c r="E963" t="s">
        <v>43</v>
      </c>
      <c r="F963">
        <v>0</v>
      </c>
      <c r="G963">
        <v>1</v>
      </c>
      <c r="H963">
        <v>0</v>
      </c>
      <c r="I963">
        <v>0</v>
      </c>
      <c r="J963">
        <v>1</v>
      </c>
      <c r="K963">
        <v>0.75</v>
      </c>
    </row>
    <row r="964" spans="1:11" x14ac:dyDescent="0.2">
      <c r="A964" t="s">
        <v>0</v>
      </c>
      <c r="B964">
        <v>131</v>
      </c>
      <c r="C964" t="s">
        <v>1</v>
      </c>
      <c r="D964" t="s">
        <v>2</v>
      </c>
      <c r="E964" t="s">
        <v>99</v>
      </c>
      <c r="F964">
        <v>1</v>
      </c>
      <c r="G964">
        <v>0</v>
      </c>
      <c r="H964">
        <v>0</v>
      </c>
      <c r="I964">
        <v>0</v>
      </c>
      <c r="J964">
        <v>1</v>
      </c>
      <c r="K964">
        <v>1</v>
      </c>
    </row>
    <row r="965" spans="1:11" x14ac:dyDescent="0.2">
      <c r="A965" t="s">
        <v>0</v>
      </c>
      <c r="B965">
        <v>131</v>
      </c>
      <c r="C965" t="s">
        <v>15</v>
      </c>
      <c r="D965" t="s">
        <v>2</v>
      </c>
      <c r="E965" t="s">
        <v>16</v>
      </c>
      <c r="F965">
        <v>0</v>
      </c>
      <c r="G965">
        <v>0</v>
      </c>
      <c r="H965">
        <v>0</v>
      </c>
      <c r="I965">
        <v>1</v>
      </c>
      <c r="J965">
        <v>1</v>
      </c>
      <c r="K965">
        <v>0.1</v>
      </c>
    </row>
    <row r="966" spans="1:11" x14ac:dyDescent="0.2">
      <c r="A966" t="s">
        <v>0</v>
      </c>
      <c r="B966">
        <v>131</v>
      </c>
      <c r="C966" t="s">
        <v>23</v>
      </c>
      <c r="D966" t="s">
        <v>2</v>
      </c>
      <c r="E966" t="s">
        <v>89</v>
      </c>
      <c r="F966">
        <v>0</v>
      </c>
      <c r="G966">
        <v>0</v>
      </c>
      <c r="H966">
        <v>5</v>
      </c>
      <c r="I966">
        <v>0</v>
      </c>
      <c r="J966">
        <v>5</v>
      </c>
      <c r="K966">
        <v>2.5</v>
      </c>
    </row>
    <row r="967" spans="1:11" x14ac:dyDescent="0.2">
      <c r="A967" t="s">
        <v>0</v>
      </c>
      <c r="B967">
        <v>131</v>
      </c>
      <c r="C967" t="s">
        <v>23</v>
      </c>
      <c r="D967" t="s">
        <v>2</v>
      </c>
      <c r="E967" t="s">
        <v>35</v>
      </c>
      <c r="F967">
        <v>0</v>
      </c>
      <c r="G967">
        <v>0</v>
      </c>
      <c r="H967">
        <v>0</v>
      </c>
      <c r="I967">
        <v>1</v>
      </c>
      <c r="J967">
        <v>1</v>
      </c>
      <c r="K967">
        <v>0.1</v>
      </c>
    </row>
    <row r="968" spans="1:11" x14ac:dyDescent="0.2">
      <c r="A968" t="s">
        <v>0</v>
      </c>
      <c r="B968">
        <v>131</v>
      </c>
      <c r="C968" t="s">
        <v>27</v>
      </c>
      <c r="D968" t="s">
        <v>6</v>
      </c>
      <c r="E968" t="s">
        <v>84</v>
      </c>
      <c r="F968">
        <v>0</v>
      </c>
      <c r="G968">
        <v>0</v>
      </c>
      <c r="H968">
        <v>0</v>
      </c>
      <c r="I968">
        <v>1</v>
      </c>
      <c r="J968">
        <v>1</v>
      </c>
      <c r="K968">
        <v>0.1</v>
      </c>
    </row>
    <row r="969" spans="1:11" x14ac:dyDescent="0.2">
      <c r="A969" t="s">
        <v>0</v>
      </c>
      <c r="B969">
        <v>131</v>
      </c>
      <c r="C969" t="s">
        <v>27</v>
      </c>
      <c r="D969" t="s">
        <v>2</v>
      </c>
      <c r="E969" t="s">
        <v>31</v>
      </c>
      <c r="F969">
        <v>2</v>
      </c>
      <c r="G969">
        <v>0</v>
      </c>
      <c r="H969">
        <v>1</v>
      </c>
      <c r="I969">
        <v>0</v>
      </c>
      <c r="J969">
        <v>3</v>
      </c>
      <c r="K969">
        <v>2.5</v>
      </c>
    </row>
    <row r="970" spans="1:11" x14ac:dyDescent="0.2">
      <c r="A970" t="s">
        <v>0</v>
      </c>
      <c r="B970">
        <v>131</v>
      </c>
      <c r="C970" t="s">
        <v>27</v>
      </c>
      <c r="D970" t="s">
        <v>6</v>
      </c>
      <c r="E970" t="s">
        <v>72</v>
      </c>
      <c r="F970">
        <v>2</v>
      </c>
      <c r="G970">
        <v>0</v>
      </c>
      <c r="H970">
        <v>1</v>
      </c>
      <c r="I970">
        <v>0</v>
      </c>
      <c r="J970">
        <v>3</v>
      </c>
      <c r="K970">
        <v>2.5</v>
      </c>
    </row>
    <row r="971" spans="1:11" x14ac:dyDescent="0.2">
      <c r="A971" t="s">
        <v>0</v>
      </c>
      <c r="B971">
        <v>131</v>
      </c>
      <c r="C971" t="s">
        <v>27</v>
      </c>
      <c r="D971" t="s">
        <v>2</v>
      </c>
      <c r="E971" t="s">
        <v>83</v>
      </c>
      <c r="F971">
        <v>0</v>
      </c>
      <c r="G971">
        <v>0</v>
      </c>
      <c r="H971">
        <v>0</v>
      </c>
      <c r="I971">
        <v>1</v>
      </c>
      <c r="J971">
        <v>1</v>
      </c>
      <c r="K971">
        <v>0.1</v>
      </c>
    </row>
    <row r="972" spans="1:11" x14ac:dyDescent="0.2">
      <c r="A972" t="s">
        <v>0</v>
      </c>
      <c r="B972">
        <v>131</v>
      </c>
      <c r="C972" t="s">
        <v>27</v>
      </c>
      <c r="D972" t="s">
        <v>6</v>
      </c>
      <c r="E972" t="s">
        <v>83</v>
      </c>
      <c r="F972">
        <v>0</v>
      </c>
      <c r="G972">
        <v>0</v>
      </c>
      <c r="H972">
        <v>0</v>
      </c>
      <c r="I972">
        <v>1</v>
      </c>
      <c r="J972">
        <v>1</v>
      </c>
      <c r="K972">
        <v>0.1</v>
      </c>
    </row>
    <row r="973" spans="1:11" x14ac:dyDescent="0.2">
      <c r="A973" t="s">
        <v>0</v>
      </c>
      <c r="B973">
        <v>132</v>
      </c>
      <c r="C973" t="s">
        <v>4</v>
      </c>
      <c r="D973" t="s">
        <v>6</v>
      </c>
      <c r="E973" t="s">
        <v>29</v>
      </c>
      <c r="F973">
        <v>0</v>
      </c>
      <c r="G973">
        <v>0</v>
      </c>
      <c r="H973">
        <v>1</v>
      </c>
      <c r="I973">
        <v>0</v>
      </c>
      <c r="J973">
        <v>1</v>
      </c>
      <c r="K973">
        <v>0.5</v>
      </c>
    </row>
    <row r="974" spans="1:11" x14ac:dyDescent="0.2">
      <c r="A974" t="s">
        <v>0</v>
      </c>
      <c r="B974">
        <v>132</v>
      </c>
      <c r="C974" t="s">
        <v>4</v>
      </c>
      <c r="D974" t="s">
        <v>2</v>
      </c>
      <c r="E974" t="s">
        <v>5</v>
      </c>
      <c r="F974">
        <v>2</v>
      </c>
      <c r="G974">
        <v>0</v>
      </c>
      <c r="H974">
        <v>0</v>
      </c>
      <c r="I974">
        <v>0</v>
      </c>
      <c r="J974">
        <v>2</v>
      </c>
      <c r="K974">
        <v>2</v>
      </c>
    </row>
    <row r="975" spans="1:11" x14ac:dyDescent="0.2">
      <c r="A975" t="s">
        <v>0</v>
      </c>
      <c r="B975">
        <v>132</v>
      </c>
      <c r="C975" t="s">
        <v>4</v>
      </c>
      <c r="D975" t="s">
        <v>6</v>
      </c>
      <c r="E975" t="s">
        <v>5</v>
      </c>
      <c r="F975">
        <v>2</v>
      </c>
      <c r="G975">
        <v>0</v>
      </c>
      <c r="H975">
        <v>0</v>
      </c>
      <c r="I975">
        <v>0</v>
      </c>
      <c r="J975">
        <v>2</v>
      </c>
      <c r="K975">
        <v>2</v>
      </c>
    </row>
    <row r="976" spans="1:11" x14ac:dyDescent="0.2">
      <c r="A976" t="s">
        <v>0</v>
      </c>
      <c r="B976">
        <v>132</v>
      </c>
      <c r="C976" t="s">
        <v>4</v>
      </c>
      <c r="D976" t="s">
        <v>6</v>
      </c>
      <c r="E976" t="s">
        <v>105</v>
      </c>
      <c r="F976">
        <v>2</v>
      </c>
      <c r="G976">
        <v>0</v>
      </c>
      <c r="H976">
        <v>0</v>
      </c>
      <c r="I976">
        <v>0</v>
      </c>
      <c r="J976">
        <v>2</v>
      </c>
      <c r="K976">
        <v>2</v>
      </c>
    </row>
    <row r="977" spans="1:11" x14ac:dyDescent="0.2">
      <c r="A977" t="s">
        <v>0</v>
      </c>
      <c r="B977">
        <v>132</v>
      </c>
      <c r="C977" t="s">
        <v>4</v>
      </c>
      <c r="D977" t="s">
        <v>6</v>
      </c>
      <c r="E977" t="s">
        <v>45</v>
      </c>
      <c r="F977">
        <v>0</v>
      </c>
      <c r="G977">
        <v>0</v>
      </c>
      <c r="H977">
        <v>2</v>
      </c>
      <c r="I977">
        <v>0</v>
      </c>
      <c r="J977">
        <v>2</v>
      </c>
      <c r="K977">
        <v>1</v>
      </c>
    </row>
    <row r="978" spans="1:11" x14ac:dyDescent="0.2">
      <c r="A978" t="s">
        <v>0</v>
      </c>
      <c r="B978">
        <v>132</v>
      </c>
      <c r="C978" t="s">
        <v>4</v>
      </c>
      <c r="D978" t="s">
        <v>2</v>
      </c>
      <c r="E978" t="s">
        <v>48</v>
      </c>
      <c r="F978">
        <v>0</v>
      </c>
      <c r="G978">
        <v>0</v>
      </c>
      <c r="H978">
        <v>0</v>
      </c>
      <c r="I978">
        <v>1</v>
      </c>
      <c r="J978">
        <v>1</v>
      </c>
      <c r="K978">
        <v>0.1</v>
      </c>
    </row>
    <row r="979" spans="1:11" x14ac:dyDescent="0.2">
      <c r="A979" t="s">
        <v>0</v>
      </c>
      <c r="B979">
        <v>132</v>
      </c>
      <c r="C979" t="s">
        <v>4</v>
      </c>
      <c r="D979" t="s">
        <v>6</v>
      </c>
      <c r="E979" t="s">
        <v>106</v>
      </c>
      <c r="F979">
        <v>0</v>
      </c>
      <c r="G979">
        <v>0</v>
      </c>
      <c r="H979">
        <v>1</v>
      </c>
      <c r="I979">
        <v>0</v>
      </c>
      <c r="J979">
        <v>1</v>
      </c>
      <c r="K979">
        <v>0.5</v>
      </c>
    </row>
    <row r="980" spans="1:11" x14ac:dyDescent="0.2">
      <c r="A980" t="s">
        <v>0</v>
      </c>
      <c r="B980">
        <v>132</v>
      </c>
      <c r="C980" t="s">
        <v>4</v>
      </c>
      <c r="D980" t="s">
        <v>2</v>
      </c>
      <c r="E980" t="s">
        <v>9</v>
      </c>
      <c r="F980">
        <v>2</v>
      </c>
      <c r="G980">
        <v>0</v>
      </c>
      <c r="H980">
        <v>2</v>
      </c>
      <c r="I980">
        <v>0</v>
      </c>
      <c r="J980">
        <v>4</v>
      </c>
      <c r="K980">
        <v>3</v>
      </c>
    </row>
    <row r="981" spans="1:11" x14ac:dyDescent="0.2">
      <c r="A981" t="s">
        <v>0</v>
      </c>
      <c r="B981">
        <v>132</v>
      </c>
      <c r="C981" t="s">
        <v>4</v>
      </c>
      <c r="D981" t="s">
        <v>2</v>
      </c>
      <c r="E981" t="s">
        <v>32</v>
      </c>
      <c r="F981">
        <v>0</v>
      </c>
      <c r="G981">
        <v>0</v>
      </c>
      <c r="H981">
        <v>0</v>
      </c>
      <c r="I981">
        <v>1</v>
      </c>
      <c r="J981">
        <v>1</v>
      </c>
      <c r="K981">
        <v>0.1</v>
      </c>
    </row>
    <row r="982" spans="1:11" x14ac:dyDescent="0.2">
      <c r="A982" t="s">
        <v>0</v>
      </c>
      <c r="B982">
        <v>132</v>
      </c>
      <c r="C982" t="s">
        <v>11</v>
      </c>
      <c r="D982" t="s">
        <v>2</v>
      </c>
      <c r="E982" t="s">
        <v>107</v>
      </c>
      <c r="F982">
        <v>0</v>
      </c>
      <c r="G982">
        <v>0</v>
      </c>
      <c r="H982">
        <v>1</v>
      </c>
      <c r="I982">
        <v>0</v>
      </c>
      <c r="J982">
        <v>1</v>
      </c>
      <c r="K982">
        <v>0.5</v>
      </c>
    </row>
    <row r="983" spans="1:11" x14ac:dyDescent="0.2">
      <c r="A983" t="s">
        <v>0</v>
      </c>
      <c r="B983">
        <v>132</v>
      </c>
      <c r="C983" t="s">
        <v>11</v>
      </c>
      <c r="D983" t="s">
        <v>6</v>
      </c>
      <c r="E983" t="s">
        <v>107</v>
      </c>
      <c r="F983">
        <v>0</v>
      </c>
      <c r="G983">
        <v>0</v>
      </c>
      <c r="H983">
        <v>1</v>
      </c>
      <c r="I983">
        <v>0</v>
      </c>
      <c r="J983">
        <v>1</v>
      </c>
      <c r="K983">
        <v>0.5</v>
      </c>
    </row>
    <row r="984" spans="1:11" x14ac:dyDescent="0.2">
      <c r="A984" t="s">
        <v>0</v>
      </c>
      <c r="B984">
        <v>132</v>
      </c>
      <c r="C984" t="s">
        <v>1</v>
      </c>
      <c r="D984" t="s">
        <v>33</v>
      </c>
      <c r="E984" t="s">
        <v>108</v>
      </c>
      <c r="F984">
        <v>1</v>
      </c>
      <c r="G984">
        <v>0</v>
      </c>
      <c r="H984">
        <v>1</v>
      </c>
      <c r="I984">
        <v>0</v>
      </c>
      <c r="J984">
        <v>2</v>
      </c>
      <c r="K984">
        <v>1.5</v>
      </c>
    </row>
    <row r="985" spans="1:11" x14ac:dyDescent="0.2">
      <c r="A985" t="s">
        <v>0</v>
      </c>
      <c r="B985">
        <v>132</v>
      </c>
      <c r="C985" t="s">
        <v>1</v>
      </c>
      <c r="D985" t="s">
        <v>33</v>
      </c>
      <c r="E985" t="s">
        <v>45</v>
      </c>
      <c r="F985">
        <v>0</v>
      </c>
      <c r="G985">
        <v>0</v>
      </c>
      <c r="H985">
        <v>2</v>
      </c>
      <c r="I985">
        <v>0</v>
      </c>
      <c r="J985">
        <v>2</v>
      </c>
      <c r="K985">
        <v>1</v>
      </c>
    </row>
    <row r="986" spans="1:11" x14ac:dyDescent="0.2">
      <c r="A986" t="s">
        <v>0</v>
      </c>
      <c r="B986">
        <v>132</v>
      </c>
      <c r="C986" t="s">
        <v>1</v>
      </c>
      <c r="D986" t="s">
        <v>2</v>
      </c>
      <c r="E986" t="s">
        <v>48</v>
      </c>
      <c r="F986">
        <v>0</v>
      </c>
      <c r="G986">
        <v>0</v>
      </c>
      <c r="H986">
        <v>0</v>
      </c>
      <c r="I986">
        <v>1</v>
      </c>
      <c r="J986">
        <v>1</v>
      </c>
      <c r="K986">
        <v>0.1</v>
      </c>
    </row>
    <row r="987" spans="1:11" x14ac:dyDescent="0.2">
      <c r="A987" t="s">
        <v>0</v>
      </c>
      <c r="B987">
        <v>132</v>
      </c>
      <c r="C987" t="s">
        <v>1</v>
      </c>
      <c r="D987" t="s">
        <v>2</v>
      </c>
      <c r="E987" t="s">
        <v>92</v>
      </c>
      <c r="F987">
        <v>0</v>
      </c>
      <c r="G987">
        <v>0</v>
      </c>
      <c r="H987">
        <v>0</v>
      </c>
      <c r="I987">
        <v>4</v>
      </c>
      <c r="J987">
        <v>4</v>
      </c>
      <c r="K987">
        <v>0.4</v>
      </c>
    </row>
    <row r="988" spans="1:11" x14ac:dyDescent="0.2">
      <c r="A988" t="s">
        <v>0</v>
      </c>
      <c r="B988">
        <v>132</v>
      </c>
      <c r="C988" t="s">
        <v>15</v>
      </c>
      <c r="D988" t="s">
        <v>2</v>
      </c>
      <c r="E988" t="s">
        <v>16</v>
      </c>
      <c r="F988">
        <v>0</v>
      </c>
      <c r="G988">
        <v>0</v>
      </c>
      <c r="H988">
        <v>0</v>
      </c>
      <c r="I988">
        <v>2</v>
      </c>
      <c r="J988">
        <v>2</v>
      </c>
      <c r="K988">
        <v>0.2</v>
      </c>
    </row>
    <row r="989" spans="1:11" x14ac:dyDescent="0.2">
      <c r="A989" t="s">
        <v>0</v>
      </c>
      <c r="B989">
        <v>132</v>
      </c>
      <c r="C989" t="s">
        <v>15</v>
      </c>
      <c r="D989" t="s">
        <v>2</v>
      </c>
      <c r="E989" t="s">
        <v>48</v>
      </c>
      <c r="F989">
        <v>0</v>
      </c>
      <c r="G989">
        <v>0</v>
      </c>
      <c r="H989">
        <v>0</v>
      </c>
      <c r="I989">
        <v>1</v>
      </c>
      <c r="J989">
        <v>1</v>
      </c>
      <c r="K989">
        <v>0.1</v>
      </c>
    </row>
    <row r="990" spans="1:11" x14ac:dyDescent="0.2">
      <c r="A990" t="s">
        <v>0</v>
      </c>
      <c r="B990">
        <v>132</v>
      </c>
      <c r="C990" t="s">
        <v>15</v>
      </c>
      <c r="D990" t="s">
        <v>6</v>
      </c>
      <c r="E990" t="s">
        <v>17</v>
      </c>
      <c r="F990">
        <v>0</v>
      </c>
      <c r="G990">
        <v>0</v>
      </c>
      <c r="H990">
        <v>1</v>
      </c>
      <c r="I990">
        <v>0</v>
      </c>
      <c r="J990">
        <v>1</v>
      </c>
      <c r="K990">
        <v>0.6</v>
      </c>
    </row>
    <row r="991" spans="1:11" x14ac:dyDescent="0.2">
      <c r="A991" t="s">
        <v>0</v>
      </c>
      <c r="B991">
        <v>132</v>
      </c>
      <c r="C991" t="s">
        <v>18</v>
      </c>
      <c r="D991" t="s">
        <v>6</v>
      </c>
      <c r="E991" t="s">
        <v>93</v>
      </c>
      <c r="F991">
        <v>0</v>
      </c>
      <c r="G991">
        <v>0</v>
      </c>
      <c r="H991">
        <v>0</v>
      </c>
      <c r="I991">
        <v>4</v>
      </c>
      <c r="J991">
        <v>4</v>
      </c>
      <c r="K991">
        <v>0.4</v>
      </c>
    </row>
    <row r="992" spans="1:11" x14ac:dyDescent="0.2">
      <c r="A992" t="s">
        <v>0</v>
      </c>
      <c r="B992">
        <v>132</v>
      </c>
      <c r="C992" t="s">
        <v>18</v>
      </c>
      <c r="D992" t="s">
        <v>6</v>
      </c>
      <c r="E992" t="s">
        <v>39</v>
      </c>
      <c r="F992">
        <v>0</v>
      </c>
      <c r="G992">
        <v>0</v>
      </c>
      <c r="H992">
        <v>0</v>
      </c>
      <c r="I992">
        <v>1</v>
      </c>
      <c r="J992">
        <v>1</v>
      </c>
      <c r="K992">
        <v>0.1</v>
      </c>
    </row>
    <row r="993" spans="1:11" x14ac:dyDescent="0.2">
      <c r="A993" t="s">
        <v>0</v>
      </c>
      <c r="B993">
        <v>132</v>
      </c>
      <c r="C993" t="s">
        <v>23</v>
      </c>
      <c r="D993" t="s">
        <v>2</v>
      </c>
      <c r="E993" t="s">
        <v>89</v>
      </c>
      <c r="F993">
        <v>0</v>
      </c>
      <c r="G993">
        <v>0</v>
      </c>
      <c r="H993">
        <v>2</v>
      </c>
      <c r="I993">
        <v>0</v>
      </c>
      <c r="J993">
        <v>2</v>
      </c>
      <c r="K993">
        <v>1</v>
      </c>
    </row>
    <row r="994" spans="1:11" x14ac:dyDescent="0.2">
      <c r="A994" t="s">
        <v>0</v>
      </c>
      <c r="B994">
        <v>132</v>
      </c>
      <c r="C994" t="s">
        <v>23</v>
      </c>
      <c r="D994" t="s">
        <v>33</v>
      </c>
      <c r="E994" t="s">
        <v>34</v>
      </c>
      <c r="F994">
        <v>0</v>
      </c>
      <c r="G994">
        <v>0</v>
      </c>
      <c r="H994">
        <v>0</v>
      </c>
      <c r="I994">
        <v>1</v>
      </c>
      <c r="J994">
        <v>1</v>
      </c>
      <c r="K994">
        <v>0.1</v>
      </c>
    </row>
    <row r="995" spans="1:11" x14ac:dyDescent="0.2">
      <c r="A995" t="s">
        <v>0</v>
      </c>
      <c r="B995">
        <v>132</v>
      </c>
      <c r="C995" t="s">
        <v>23</v>
      </c>
      <c r="D995" t="s">
        <v>2</v>
      </c>
      <c r="E995" t="s">
        <v>48</v>
      </c>
      <c r="F995">
        <v>0</v>
      </c>
      <c r="G995">
        <v>0</v>
      </c>
      <c r="H995">
        <v>0</v>
      </c>
      <c r="I995">
        <v>1</v>
      </c>
      <c r="J995">
        <v>1</v>
      </c>
      <c r="K995">
        <v>0.1</v>
      </c>
    </row>
    <row r="996" spans="1:11" x14ac:dyDescent="0.2">
      <c r="A996" t="s">
        <v>0</v>
      </c>
      <c r="B996">
        <v>132</v>
      </c>
      <c r="C996" t="s">
        <v>23</v>
      </c>
      <c r="D996" t="s">
        <v>33</v>
      </c>
      <c r="E996" t="s">
        <v>40</v>
      </c>
      <c r="F996">
        <v>0</v>
      </c>
      <c r="G996">
        <v>0</v>
      </c>
      <c r="H996">
        <v>1</v>
      </c>
      <c r="I996">
        <v>0</v>
      </c>
      <c r="J996">
        <v>1</v>
      </c>
      <c r="K996">
        <v>0.5</v>
      </c>
    </row>
    <row r="997" spans="1:11" x14ac:dyDescent="0.2">
      <c r="A997" t="s">
        <v>0</v>
      </c>
      <c r="B997">
        <v>132</v>
      </c>
      <c r="C997" t="s">
        <v>23</v>
      </c>
      <c r="D997" t="s">
        <v>2</v>
      </c>
      <c r="E997" t="s">
        <v>26</v>
      </c>
      <c r="F997">
        <v>0</v>
      </c>
      <c r="G997">
        <v>0</v>
      </c>
      <c r="H997">
        <v>1</v>
      </c>
      <c r="I997">
        <v>0</v>
      </c>
      <c r="J997">
        <v>1</v>
      </c>
      <c r="K997">
        <v>0.5</v>
      </c>
    </row>
    <row r="998" spans="1:11" x14ac:dyDescent="0.2">
      <c r="A998" t="s">
        <v>0</v>
      </c>
      <c r="B998">
        <v>132</v>
      </c>
      <c r="C998" t="s">
        <v>27</v>
      </c>
      <c r="D998" t="s">
        <v>6</v>
      </c>
      <c r="E998" t="s">
        <v>84</v>
      </c>
      <c r="F998">
        <v>1</v>
      </c>
      <c r="G998">
        <v>1</v>
      </c>
      <c r="H998">
        <v>0</v>
      </c>
      <c r="I998">
        <v>0</v>
      </c>
      <c r="J998">
        <v>2</v>
      </c>
      <c r="K998">
        <v>1.75</v>
      </c>
    </row>
    <row r="999" spans="1:11" x14ac:dyDescent="0.2">
      <c r="A999" t="s">
        <v>0</v>
      </c>
      <c r="B999">
        <v>132</v>
      </c>
      <c r="C999" t="s">
        <v>27</v>
      </c>
      <c r="D999" t="s">
        <v>2</v>
      </c>
      <c r="E999" t="s">
        <v>5</v>
      </c>
      <c r="F999">
        <v>2</v>
      </c>
      <c r="G999">
        <v>0</v>
      </c>
      <c r="H999">
        <v>0</v>
      </c>
      <c r="I999">
        <v>0</v>
      </c>
      <c r="J999">
        <v>2</v>
      </c>
      <c r="K999">
        <v>2</v>
      </c>
    </row>
    <row r="1000" spans="1:11" x14ac:dyDescent="0.2">
      <c r="A1000" t="s">
        <v>0</v>
      </c>
      <c r="B1000">
        <v>132</v>
      </c>
      <c r="C1000" t="s">
        <v>27</v>
      </c>
      <c r="D1000" t="s">
        <v>6</v>
      </c>
      <c r="E1000" t="s">
        <v>85</v>
      </c>
      <c r="F1000">
        <v>2</v>
      </c>
      <c r="G1000">
        <v>0</v>
      </c>
      <c r="H1000">
        <v>0</v>
      </c>
      <c r="I1000">
        <v>0</v>
      </c>
      <c r="J1000">
        <v>2</v>
      </c>
      <c r="K1000">
        <v>2</v>
      </c>
    </row>
    <row r="1001" spans="1:11" x14ac:dyDescent="0.2">
      <c r="A1001" t="s">
        <v>0</v>
      </c>
      <c r="B1001">
        <v>132</v>
      </c>
      <c r="C1001" t="s">
        <v>27</v>
      </c>
      <c r="D1001" t="s">
        <v>2</v>
      </c>
      <c r="E1001" t="s">
        <v>109</v>
      </c>
      <c r="F1001">
        <v>0</v>
      </c>
      <c r="G1001">
        <v>0</v>
      </c>
      <c r="H1001">
        <v>1</v>
      </c>
      <c r="I1001">
        <v>0</v>
      </c>
      <c r="J1001">
        <v>1</v>
      </c>
      <c r="K1001">
        <v>0.5</v>
      </c>
    </row>
    <row r="1002" spans="1:11" x14ac:dyDescent="0.2">
      <c r="A1002" t="s">
        <v>0</v>
      </c>
      <c r="B1002">
        <v>132</v>
      </c>
      <c r="C1002" t="s">
        <v>27</v>
      </c>
      <c r="D1002" t="s">
        <v>2</v>
      </c>
      <c r="E1002" t="s">
        <v>86</v>
      </c>
      <c r="F1002">
        <v>0</v>
      </c>
      <c r="G1002">
        <v>0</v>
      </c>
      <c r="H1002">
        <v>2</v>
      </c>
      <c r="I1002">
        <v>0</v>
      </c>
      <c r="J1002">
        <v>2</v>
      </c>
      <c r="K1002">
        <v>1</v>
      </c>
    </row>
    <row r="1003" spans="1:11" x14ac:dyDescent="0.2">
      <c r="A1003" t="s">
        <v>0</v>
      </c>
      <c r="B1003">
        <v>132</v>
      </c>
      <c r="C1003" t="s">
        <v>27</v>
      </c>
      <c r="D1003" t="s">
        <v>6</v>
      </c>
      <c r="E1003" t="s">
        <v>72</v>
      </c>
      <c r="F1003">
        <v>0</v>
      </c>
      <c r="G1003">
        <v>0</v>
      </c>
      <c r="H1003">
        <v>1</v>
      </c>
      <c r="I1003">
        <v>0</v>
      </c>
      <c r="J1003">
        <v>1</v>
      </c>
      <c r="K1003">
        <v>0.5</v>
      </c>
    </row>
    <row r="1004" spans="1:11" x14ac:dyDescent="0.2">
      <c r="A1004" t="s">
        <v>0</v>
      </c>
      <c r="B1004">
        <v>132</v>
      </c>
      <c r="C1004" t="s">
        <v>27</v>
      </c>
      <c r="D1004" t="s">
        <v>2</v>
      </c>
      <c r="E1004" t="s">
        <v>106</v>
      </c>
      <c r="F1004">
        <v>0</v>
      </c>
      <c r="G1004">
        <v>0</v>
      </c>
      <c r="H1004">
        <v>1</v>
      </c>
      <c r="I1004">
        <v>0</v>
      </c>
      <c r="J1004">
        <v>1</v>
      </c>
      <c r="K1004">
        <v>0.5</v>
      </c>
    </row>
    <row r="1005" spans="1:11" x14ac:dyDescent="0.2">
      <c r="A1005" t="s">
        <v>0</v>
      </c>
      <c r="B1005">
        <v>132</v>
      </c>
      <c r="C1005" t="s">
        <v>27</v>
      </c>
      <c r="D1005" t="s">
        <v>2</v>
      </c>
      <c r="E1005" t="s">
        <v>42</v>
      </c>
      <c r="F1005">
        <v>0</v>
      </c>
      <c r="G1005">
        <v>0</v>
      </c>
      <c r="H1005">
        <v>1</v>
      </c>
      <c r="I1005">
        <v>0</v>
      </c>
      <c r="J1005">
        <v>1</v>
      </c>
      <c r="K1005">
        <v>0.5</v>
      </c>
    </row>
    <row r="1006" spans="1:11" x14ac:dyDescent="0.2">
      <c r="A1006" t="s">
        <v>0</v>
      </c>
      <c r="B1006">
        <v>133</v>
      </c>
      <c r="C1006" t="s">
        <v>4</v>
      </c>
      <c r="D1006" t="s">
        <v>2</v>
      </c>
      <c r="E1006" t="s">
        <v>70</v>
      </c>
      <c r="F1006">
        <v>1</v>
      </c>
      <c r="G1006">
        <v>0</v>
      </c>
      <c r="H1006">
        <v>0</v>
      </c>
      <c r="I1006">
        <v>0</v>
      </c>
      <c r="J1006">
        <v>1</v>
      </c>
      <c r="K1006">
        <v>1</v>
      </c>
    </row>
    <row r="1007" spans="1:11" x14ac:dyDescent="0.2">
      <c r="A1007" t="s">
        <v>0</v>
      </c>
      <c r="B1007">
        <v>133</v>
      </c>
      <c r="C1007" t="s">
        <v>15</v>
      </c>
      <c r="D1007" t="s">
        <v>6</v>
      </c>
      <c r="E1007" t="s">
        <v>37</v>
      </c>
      <c r="F1007">
        <v>0</v>
      </c>
      <c r="G1007">
        <v>0</v>
      </c>
      <c r="H1007">
        <v>1</v>
      </c>
      <c r="I1007">
        <v>0</v>
      </c>
      <c r="J1007">
        <v>1</v>
      </c>
      <c r="K1007">
        <v>0.5</v>
      </c>
    </row>
    <row r="1008" spans="1:11" x14ac:dyDescent="0.2">
      <c r="A1008" t="s">
        <v>0</v>
      </c>
      <c r="B1008">
        <v>133</v>
      </c>
      <c r="C1008" t="s">
        <v>18</v>
      </c>
      <c r="D1008" t="s">
        <v>6</v>
      </c>
      <c r="E1008" t="s">
        <v>22</v>
      </c>
      <c r="F1008">
        <v>0</v>
      </c>
      <c r="G1008">
        <v>0</v>
      </c>
      <c r="H1008">
        <v>1</v>
      </c>
      <c r="I1008">
        <v>0</v>
      </c>
      <c r="J1008">
        <v>1</v>
      </c>
      <c r="K1008">
        <v>0.5</v>
      </c>
    </row>
    <row r="1009" spans="1:11" x14ac:dyDescent="0.2">
      <c r="A1009" t="s">
        <v>0</v>
      </c>
      <c r="B1009">
        <v>133</v>
      </c>
      <c r="C1009" t="s">
        <v>18</v>
      </c>
      <c r="D1009" t="s">
        <v>2</v>
      </c>
      <c r="E1009" t="s">
        <v>110</v>
      </c>
      <c r="F1009">
        <v>1</v>
      </c>
      <c r="G1009">
        <v>0</v>
      </c>
      <c r="H1009">
        <v>0</v>
      </c>
      <c r="I1009">
        <v>0</v>
      </c>
      <c r="J1009">
        <v>1</v>
      </c>
      <c r="K1009">
        <v>1</v>
      </c>
    </row>
    <row r="1010" spans="1:11" x14ac:dyDescent="0.2">
      <c r="A1010" t="s">
        <v>0</v>
      </c>
      <c r="B1010">
        <v>133</v>
      </c>
      <c r="C1010" t="s">
        <v>18</v>
      </c>
      <c r="D1010" t="s">
        <v>6</v>
      </c>
      <c r="E1010" t="s">
        <v>110</v>
      </c>
      <c r="F1010">
        <v>1</v>
      </c>
      <c r="G1010">
        <v>0</v>
      </c>
      <c r="H1010">
        <v>0</v>
      </c>
      <c r="I1010">
        <v>0</v>
      </c>
      <c r="J1010">
        <v>1</v>
      </c>
      <c r="K1010">
        <v>1</v>
      </c>
    </row>
    <row r="1011" spans="1:11" x14ac:dyDescent="0.2">
      <c r="A1011" t="s">
        <v>0</v>
      </c>
      <c r="B1011">
        <v>133</v>
      </c>
      <c r="C1011" t="s">
        <v>23</v>
      </c>
      <c r="D1011" t="s">
        <v>2</v>
      </c>
      <c r="E1011" t="s">
        <v>111</v>
      </c>
      <c r="F1011">
        <v>0</v>
      </c>
      <c r="G1011">
        <v>0</v>
      </c>
      <c r="H1011">
        <v>1</v>
      </c>
      <c r="I1011">
        <v>0</v>
      </c>
      <c r="J1011">
        <v>1</v>
      </c>
      <c r="K1011">
        <v>0.5</v>
      </c>
    </row>
    <row r="1012" spans="1:11" x14ac:dyDescent="0.2">
      <c r="A1012" t="s">
        <v>0</v>
      </c>
      <c r="B1012">
        <v>134</v>
      </c>
      <c r="C1012" t="s">
        <v>4</v>
      </c>
      <c r="D1012" t="s">
        <v>6</v>
      </c>
      <c r="E1012" t="s">
        <v>45</v>
      </c>
      <c r="F1012">
        <v>0</v>
      </c>
      <c r="G1012">
        <v>0</v>
      </c>
      <c r="H1012">
        <v>0</v>
      </c>
      <c r="I1012">
        <v>1</v>
      </c>
      <c r="J1012">
        <v>1</v>
      </c>
      <c r="K1012">
        <v>0.1</v>
      </c>
    </row>
    <row r="1013" spans="1:11" x14ac:dyDescent="0.2">
      <c r="A1013" t="s">
        <v>0</v>
      </c>
      <c r="B1013">
        <v>134</v>
      </c>
      <c r="C1013" t="s">
        <v>4</v>
      </c>
      <c r="D1013" t="s">
        <v>2</v>
      </c>
      <c r="E1013" t="s">
        <v>43</v>
      </c>
      <c r="F1013">
        <v>1</v>
      </c>
      <c r="G1013">
        <v>1</v>
      </c>
      <c r="H1013">
        <v>0</v>
      </c>
      <c r="I1013">
        <v>0</v>
      </c>
      <c r="J1013">
        <v>2</v>
      </c>
      <c r="K1013">
        <v>1.75</v>
      </c>
    </row>
    <row r="1014" spans="1:11" x14ac:dyDescent="0.2">
      <c r="A1014" t="s">
        <v>0</v>
      </c>
      <c r="B1014">
        <v>134</v>
      </c>
      <c r="C1014" t="s">
        <v>11</v>
      </c>
      <c r="D1014" t="s">
        <v>2</v>
      </c>
      <c r="E1014" t="s">
        <v>66</v>
      </c>
      <c r="F1014">
        <v>1</v>
      </c>
      <c r="G1014">
        <v>0</v>
      </c>
      <c r="H1014">
        <v>0</v>
      </c>
      <c r="I1014">
        <v>0</v>
      </c>
      <c r="J1014">
        <v>1</v>
      </c>
      <c r="K1014">
        <v>1</v>
      </c>
    </row>
    <row r="1015" spans="1:11" x14ac:dyDescent="0.2">
      <c r="A1015" t="s">
        <v>0</v>
      </c>
      <c r="B1015">
        <v>134</v>
      </c>
      <c r="C1015" t="s">
        <v>1</v>
      </c>
      <c r="D1015" t="s">
        <v>33</v>
      </c>
      <c r="E1015" t="s">
        <v>45</v>
      </c>
      <c r="F1015">
        <v>0</v>
      </c>
      <c r="G1015">
        <v>0</v>
      </c>
      <c r="H1015">
        <v>0</v>
      </c>
      <c r="I1015">
        <v>1</v>
      </c>
      <c r="J1015">
        <v>1</v>
      </c>
      <c r="K1015">
        <v>0.1</v>
      </c>
    </row>
    <row r="1016" spans="1:11" x14ac:dyDescent="0.2">
      <c r="A1016" t="s">
        <v>0</v>
      </c>
      <c r="B1016">
        <v>134</v>
      </c>
      <c r="C1016" t="s">
        <v>15</v>
      </c>
      <c r="D1016" t="s">
        <v>2</v>
      </c>
      <c r="E1016" t="s">
        <v>66</v>
      </c>
      <c r="F1016">
        <v>1</v>
      </c>
      <c r="G1016">
        <v>0</v>
      </c>
      <c r="H1016">
        <v>0</v>
      </c>
      <c r="I1016">
        <v>0</v>
      </c>
      <c r="J1016">
        <v>1</v>
      </c>
      <c r="K1016">
        <v>1</v>
      </c>
    </row>
    <row r="1017" spans="1:11" x14ac:dyDescent="0.2">
      <c r="A1017" t="s">
        <v>0</v>
      </c>
      <c r="B1017">
        <v>134</v>
      </c>
      <c r="C1017" t="s">
        <v>15</v>
      </c>
      <c r="D1017" t="s">
        <v>6</v>
      </c>
      <c r="E1017" t="s">
        <v>17</v>
      </c>
      <c r="F1017">
        <v>0</v>
      </c>
      <c r="G1017">
        <v>0</v>
      </c>
      <c r="H1017">
        <v>0</v>
      </c>
      <c r="I1017">
        <v>1</v>
      </c>
      <c r="J1017">
        <v>1</v>
      </c>
      <c r="K1017">
        <v>0.1</v>
      </c>
    </row>
    <row r="1018" spans="1:11" x14ac:dyDescent="0.2">
      <c r="A1018" t="s">
        <v>0</v>
      </c>
      <c r="B1018">
        <v>134</v>
      </c>
      <c r="C1018" t="s">
        <v>18</v>
      </c>
      <c r="D1018" t="s">
        <v>2</v>
      </c>
      <c r="E1018" t="s">
        <v>21</v>
      </c>
      <c r="F1018">
        <v>0</v>
      </c>
      <c r="G1018">
        <v>0</v>
      </c>
      <c r="H1018">
        <v>0</v>
      </c>
      <c r="I1018">
        <v>1</v>
      </c>
      <c r="J1018">
        <v>1</v>
      </c>
      <c r="K1018">
        <v>0.1</v>
      </c>
    </row>
    <row r="1019" spans="1:11" x14ac:dyDescent="0.2">
      <c r="A1019" t="s">
        <v>0</v>
      </c>
      <c r="B1019">
        <v>134</v>
      </c>
      <c r="C1019" t="s">
        <v>18</v>
      </c>
      <c r="D1019" t="s">
        <v>2</v>
      </c>
      <c r="E1019" t="s">
        <v>54</v>
      </c>
      <c r="F1019">
        <v>0</v>
      </c>
      <c r="G1019">
        <v>0</v>
      </c>
      <c r="H1019">
        <v>0</v>
      </c>
      <c r="I1019">
        <v>1</v>
      </c>
      <c r="J1019">
        <v>1</v>
      </c>
      <c r="K1019">
        <v>0.1</v>
      </c>
    </row>
    <row r="1020" spans="1:11" x14ac:dyDescent="0.2">
      <c r="A1020" t="s">
        <v>0</v>
      </c>
      <c r="B1020">
        <v>134</v>
      </c>
      <c r="C1020" t="s">
        <v>23</v>
      </c>
      <c r="D1020" t="s">
        <v>2</v>
      </c>
      <c r="E1020" t="s">
        <v>26</v>
      </c>
      <c r="F1020">
        <v>0</v>
      </c>
      <c r="G1020">
        <v>0</v>
      </c>
      <c r="H1020">
        <v>0</v>
      </c>
      <c r="I1020">
        <v>1</v>
      </c>
      <c r="J1020">
        <v>1</v>
      </c>
      <c r="K1020">
        <v>0.1</v>
      </c>
    </row>
    <row r="1021" spans="1:11" x14ac:dyDescent="0.2">
      <c r="A1021" t="s">
        <v>0</v>
      </c>
      <c r="B1021">
        <v>134</v>
      </c>
      <c r="C1021" t="s">
        <v>27</v>
      </c>
      <c r="D1021" t="s">
        <v>6</v>
      </c>
      <c r="E1021" t="s">
        <v>84</v>
      </c>
      <c r="F1021">
        <v>0</v>
      </c>
      <c r="G1021">
        <v>1</v>
      </c>
      <c r="H1021">
        <v>0</v>
      </c>
      <c r="I1021">
        <v>0</v>
      </c>
      <c r="J1021">
        <v>1</v>
      </c>
      <c r="K1021">
        <v>0.75</v>
      </c>
    </row>
    <row r="1022" spans="1:11" x14ac:dyDescent="0.2">
      <c r="A1022" t="s">
        <v>0</v>
      </c>
      <c r="B1022">
        <v>134</v>
      </c>
      <c r="C1022" t="s">
        <v>27</v>
      </c>
      <c r="D1022" t="s">
        <v>6</v>
      </c>
      <c r="E1022" t="s">
        <v>85</v>
      </c>
      <c r="F1022">
        <v>0</v>
      </c>
      <c r="G1022">
        <v>1</v>
      </c>
      <c r="H1022">
        <v>1</v>
      </c>
      <c r="I1022">
        <v>0</v>
      </c>
      <c r="J1022">
        <v>2</v>
      </c>
      <c r="K1022">
        <v>1.25</v>
      </c>
    </row>
    <row r="1023" spans="1:11" x14ac:dyDescent="0.2">
      <c r="A1023" t="s">
        <v>0</v>
      </c>
      <c r="B1023">
        <v>134</v>
      </c>
      <c r="C1023" t="s">
        <v>27</v>
      </c>
      <c r="D1023" t="s">
        <v>2</v>
      </c>
      <c r="E1023" t="s">
        <v>31</v>
      </c>
      <c r="F1023">
        <v>3</v>
      </c>
      <c r="G1023">
        <v>0</v>
      </c>
      <c r="H1023">
        <v>0</v>
      </c>
      <c r="I1023">
        <v>0</v>
      </c>
      <c r="J1023">
        <v>3</v>
      </c>
      <c r="K1023">
        <v>3</v>
      </c>
    </row>
    <row r="1024" spans="1:11" x14ac:dyDescent="0.2">
      <c r="A1024" t="s">
        <v>0</v>
      </c>
      <c r="B1024">
        <v>134</v>
      </c>
      <c r="C1024" t="s">
        <v>27</v>
      </c>
      <c r="D1024" t="s">
        <v>2</v>
      </c>
      <c r="E1024" t="s">
        <v>86</v>
      </c>
      <c r="F1024">
        <v>0</v>
      </c>
      <c r="G1024">
        <v>2</v>
      </c>
      <c r="H1024">
        <v>1</v>
      </c>
      <c r="I1024">
        <v>7</v>
      </c>
      <c r="J1024">
        <v>10</v>
      </c>
      <c r="K1024">
        <v>2.7</v>
      </c>
    </row>
    <row r="1025" spans="1:11" x14ac:dyDescent="0.2">
      <c r="A1025" t="s">
        <v>0</v>
      </c>
      <c r="B1025">
        <v>134</v>
      </c>
      <c r="C1025" t="s">
        <v>27</v>
      </c>
      <c r="D1025" t="s">
        <v>6</v>
      </c>
      <c r="E1025" t="s">
        <v>72</v>
      </c>
      <c r="F1025">
        <v>0</v>
      </c>
      <c r="G1025">
        <v>0</v>
      </c>
      <c r="H1025">
        <v>2</v>
      </c>
      <c r="I1025">
        <v>0</v>
      </c>
      <c r="J1025">
        <v>2</v>
      </c>
      <c r="K1025">
        <v>1</v>
      </c>
    </row>
    <row r="1026" spans="1:11" x14ac:dyDescent="0.2">
      <c r="A1026" t="s">
        <v>0</v>
      </c>
      <c r="B1026">
        <v>134</v>
      </c>
      <c r="C1026" t="s">
        <v>27</v>
      </c>
      <c r="D1026" t="s">
        <v>2</v>
      </c>
      <c r="E1026" t="s">
        <v>83</v>
      </c>
      <c r="F1026">
        <v>1</v>
      </c>
      <c r="G1026">
        <v>0</v>
      </c>
      <c r="H1026">
        <v>2</v>
      </c>
      <c r="I1026">
        <v>0</v>
      </c>
      <c r="J1026">
        <v>3</v>
      </c>
      <c r="K1026">
        <v>2</v>
      </c>
    </row>
    <row r="1027" spans="1:11" x14ac:dyDescent="0.2">
      <c r="A1027" t="s">
        <v>0</v>
      </c>
      <c r="B1027">
        <v>134</v>
      </c>
      <c r="C1027" t="s">
        <v>27</v>
      </c>
      <c r="D1027" t="s">
        <v>6</v>
      </c>
      <c r="E1027" t="s">
        <v>83</v>
      </c>
      <c r="F1027">
        <v>1</v>
      </c>
      <c r="G1027">
        <v>0</v>
      </c>
      <c r="H1027">
        <v>2</v>
      </c>
      <c r="I1027">
        <v>0</v>
      </c>
      <c r="J1027">
        <v>3</v>
      </c>
      <c r="K1027">
        <v>2</v>
      </c>
    </row>
    <row r="1028" spans="1:11" x14ac:dyDescent="0.2">
      <c r="A1028" t="s">
        <v>0</v>
      </c>
      <c r="B1028">
        <v>134</v>
      </c>
      <c r="C1028" t="s">
        <v>27</v>
      </c>
      <c r="D1028" t="s">
        <v>2</v>
      </c>
      <c r="E1028" t="s">
        <v>49</v>
      </c>
      <c r="F1028">
        <v>0</v>
      </c>
      <c r="G1028">
        <v>2</v>
      </c>
      <c r="H1028">
        <v>0</v>
      </c>
      <c r="I1028">
        <v>0</v>
      </c>
      <c r="J1028">
        <v>2</v>
      </c>
      <c r="K1028">
        <v>1.5</v>
      </c>
    </row>
    <row r="1029" spans="1:11" x14ac:dyDescent="0.2">
      <c r="A1029" t="s">
        <v>0</v>
      </c>
      <c r="B1029">
        <v>134</v>
      </c>
      <c r="C1029" t="s">
        <v>27</v>
      </c>
      <c r="D1029" t="s">
        <v>6</v>
      </c>
      <c r="E1029" t="s">
        <v>50</v>
      </c>
      <c r="F1029">
        <v>0</v>
      </c>
      <c r="G1029">
        <v>0</v>
      </c>
      <c r="H1029">
        <v>2</v>
      </c>
      <c r="I1029">
        <v>0</v>
      </c>
      <c r="J1029">
        <v>2</v>
      </c>
      <c r="K1029">
        <v>1</v>
      </c>
    </row>
    <row r="1030" spans="1:11" x14ac:dyDescent="0.2">
      <c r="A1030" t="s">
        <v>0</v>
      </c>
      <c r="B1030">
        <v>134</v>
      </c>
      <c r="C1030" t="s">
        <v>27</v>
      </c>
      <c r="D1030" t="s">
        <v>33</v>
      </c>
      <c r="E1030" t="s">
        <v>50</v>
      </c>
      <c r="F1030">
        <v>0</v>
      </c>
      <c r="G1030">
        <v>0</v>
      </c>
      <c r="H1030">
        <v>2</v>
      </c>
      <c r="I1030">
        <v>0</v>
      </c>
      <c r="J1030">
        <v>2</v>
      </c>
      <c r="K1030">
        <v>1</v>
      </c>
    </row>
    <row r="1031" spans="1:11" x14ac:dyDescent="0.2">
      <c r="A1031" t="s">
        <v>0</v>
      </c>
      <c r="B1031">
        <v>134</v>
      </c>
      <c r="C1031" t="s">
        <v>27</v>
      </c>
      <c r="D1031" t="s">
        <v>2</v>
      </c>
      <c r="E1031" t="s">
        <v>102</v>
      </c>
      <c r="F1031">
        <v>1</v>
      </c>
      <c r="G1031">
        <v>1</v>
      </c>
      <c r="H1031">
        <v>3</v>
      </c>
      <c r="I1031">
        <v>0</v>
      </c>
      <c r="J1031">
        <v>5</v>
      </c>
      <c r="K1031">
        <v>3.25</v>
      </c>
    </row>
    <row r="1032" spans="1:11" x14ac:dyDescent="0.2">
      <c r="A1032" t="s">
        <v>0</v>
      </c>
      <c r="B1032">
        <v>134</v>
      </c>
      <c r="C1032" t="s">
        <v>27</v>
      </c>
      <c r="D1032" t="s">
        <v>6</v>
      </c>
      <c r="E1032" t="s">
        <v>102</v>
      </c>
      <c r="F1032">
        <v>1</v>
      </c>
      <c r="G1032">
        <v>1</v>
      </c>
      <c r="H1032">
        <v>3</v>
      </c>
      <c r="I1032">
        <v>0</v>
      </c>
      <c r="J1032">
        <v>5</v>
      </c>
      <c r="K1032">
        <v>3.25</v>
      </c>
    </row>
    <row r="1033" spans="1:11" x14ac:dyDescent="0.2">
      <c r="A1033" t="s">
        <v>0</v>
      </c>
      <c r="B1033">
        <v>135</v>
      </c>
      <c r="C1033" t="s">
        <v>4</v>
      </c>
      <c r="D1033" t="s">
        <v>2</v>
      </c>
      <c r="E1033" t="s">
        <v>32</v>
      </c>
      <c r="F1033">
        <v>0</v>
      </c>
      <c r="G1033">
        <v>0</v>
      </c>
      <c r="H1033">
        <v>0</v>
      </c>
      <c r="I1033">
        <v>3</v>
      </c>
      <c r="J1033">
        <v>3</v>
      </c>
      <c r="K1033">
        <v>0.3</v>
      </c>
    </row>
    <row r="1034" spans="1:11" x14ac:dyDescent="0.2">
      <c r="A1034" t="s">
        <v>0</v>
      </c>
      <c r="B1034">
        <v>135</v>
      </c>
      <c r="C1034" t="s">
        <v>15</v>
      </c>
      <c r="D1034" t="s">
        <v>2</v>
      </c>
      <c r="E1034" t="s">
        <v>16</v>
      </c>
      <c r="F1034">
        <v>0</v>
      </c>
      <c r="G1034">
        <v>0</v>
      </c>
      <c r="H1034">
        <v>0</v>
      </c>
      <c r="I1034">
        <v>3</v>
      </c>
      <c r="J1034">
        <v>3</v>
      </c>
      <c r="K1034">
        <v>0.3</v>
      </c>
    </row>
    <row r="1035" spans="1:11" x14ac:dyDescent="0.2">
      <c r="A1035" t="s">
        <v>0</v>
      </c>
      <c r="B1035">
        <v>135</v>
      </c>
      <c r="C1035" t="s">
        <v>15</v>
      </c>
      <c r="D1035" t="s">
        <v>2</v>
      </c>
      <c r="E1035" t="s">
        <v>46</v>
      </c>
      <c r="F1035">
        <v>1</v>
      </c>
      <c r="G1035">
        <v>0</v>
      </c>
      <c r="H1035">
        <v>0</v>
      </c>
      <c r="I1035">
        <v>0</v>
      </c>
      <c r="J1035">
        <v>1</v>
      </c>
      <c r="K1035">
        <v>1</v>
      </c>
    </row>
    <row r="1036" spans="1:11" x14ac:dyDescent="0.2">
      <c r="A1036" t="s">
        <v>0</v>
      </c>
      <c r="B1036">
        <v>135</v>
      </c>
      <c r="C1036" t="s">
        <v>18</v>
      </c>
      <c r="D1036" t="s">
        <v>6</v>
      </c>
      <c r="E1036" t="s">
        <v>19</v>
      </c>
      <c r="F1036">
        <v>0</v>
      </c>
      <c r="G1036">
        <v>0</v>
      </c>
      <c r="H1036">
        <v>3</v>
      </c>
      <c r="I1036">
        <v>0</v>
      </c>
      <c r="J1036">
        <v>3</v>
      </c>
      <c r="K1036">
        <v>1.5</v>
      </c>
    </row>
    <row r="1037" spans="1:11" x14ac:dyDescent="0.2">
      <c r="A1037" t="s">
        <v>0</v>
      </c>
      <c r="B1037">
        <v>135</v>
      </c>
      <c r="C1037" t="s">
        <v>18</v>
      </c>
      <c r="D1037" t="s">
        <v>2</v>
      </c>
      <c r="E1037" t="s">
        <v>54</v>
      </c>
      <c r="F1037">
        <v>0</v>
      </c>
      <c r="G1037">
        <v>0</v>
      </c>
      <c r="H1037">
        <v>0</v>
      </c>
      <c r="I1037">
        <v>2</v>
      </c>
      <c r="J1037">
        <v>2</v>
      </c>
      <c r="K1037">
        <v>0.2</v>
      </c>
    </row>
    <row r="1038" spans="1:11" x14ac:dyDescent="0.2">
      <c r="A1038" t="s">
        <v>0</v>
      </c>
      <c r="B1038">
        <v>135</v>
      </c>
      <c r="C1038" t="s">
        <v>18</v>
      </c>
      <c r="D1038" t="s">
        <v>2</v>
      </c>
      <c r="E1038" t="s">
        <v>112</v>
      </c>
      <c r="F1038">
        <v>1</v>
      </c>
      <c r="G1038">
        <v>0</v>
      </c>
      <c r="H1038">
        <v>0</v>
      </c>
      <c r="I1038">
        <v>0</v>
      </c>
      <c r="J1038">
        <v>1</v>
      </c>
      <c r="K1038">
        <v>1</v>
      </c>
    </row>
    <row r="1039" spans="1:11" x14ac:dyDescent="0.2">
      <c r="A1039" t="s">
        <v>0</v>
      </c>
      <c r="B1039">
        <v>135</v>
      </c>
      <c r="C1039" t="s">
        <v>18</v>
      </c>
      <c r="D1039" t="s">
        <v>6</v>
      </c>
      <c r="E1039" t="s">
        <v>112</v>
      </c>
      <c r="F1039">
        <v>1</v>
      </c>
      <c r="G1039">
        <v>0</v>
      </c>
      <c r="H1039">
        <v>0</v>
      </c>
      <c r="I1039">
        <v>0</v>
      </c>
      <c r="J1039">
        <v>1</v>
      </c>
      <c r="K1039">
        <v>1</v>
      </c>
    </row>
    <row r="1040" spans="1:11" x14ac:dyDescent="0.2">
      <c r="A1040" t="s">
        <v>0</v>
      </c>
      <c r="B1040">
        <v>135</v>
      </c>
      <c r="C1040" t="s">
        <v>23</v>
      </c>
      <c r="D1040" t="s">
        <v>33</v>
      </c>
      <c r="E1040" t="s">
        <v>34</v>
      </c>
      <c r="F1040">
        <v>0</v>
      </c>
      <c r="G1040">
        <v>0</v>
      </c>
      <c r="H1040">
        <v>1</v>
      </c>
      <c r="I1040">
        <v>2</v>
      </c>
      <c r="J1040">
        <v>3</v>
      </c>
      <c r="K1040">
        <v>0.8</v>
      </c>
    </row>
    <row r="1041" spans="1:11" x14ac:dyDescent="0.2">
      <c r="A1041" t="s">
        <v>0</v>
      </c>
      <c r="B1041">
        <v>135</v>
      </c>
      <c r="C1041" t="s">
        <v>23</v>
      </c>
      <c r="D1041" t="s">
        <v>2</v>
      </c>
      <c r="E1041" t="s">
        <v>58</v>
      </c>
      <c r="F1041">
        <v>0</v>
      </c>
      <c r="G1041">
        <v>0</v>
      </c>
      <c r="H1041">
        <v>1</v>
      </c>
      <c r="I1041">
        <v>0</v>
      </c>
      <c r="J1041">
        <v>1</v>
      </c>
      <c r="K1041">
        <v>0.5</v>
      </c>
    </row>
    <row r="1042" spans="1:11" x14ac:dyDescent="0.2">
      <c r="A1042" t="s">
        <v>0</v>
      </c>
      <c r="B1042">
        <v>135</v>
      </c>
      <c r="C1042" t="s">
        <v>23</v>
      </c>
      <c r="D1042" t="s">
        <v>63</v>
      </c>
      <c r="E1042" t="s">
        <v>113</v>
      </c>
      <c r="F1042">
        <v>0</v>
      </c>
      <c r="G1042">
        <v>0</v>
      </c>
      <c r="H1042">
        <v>1</v>
      </c>
      <c r="I1042">
        <v>0</v>
      </c>
      <c r="J1042">
        <v>1</v>
      </c>
      <c r="K1042">
        <v>0.5</v>
      </c>
    </row>
    <row r="1043" spans="1:11" x14ac:dyDescent="0.2">
      <c r="A1043" t="s">
        <v>0</v>
      </c>
      <c r="B1043">
        <v>135</v>
      </c>
      <c r="C1043" t="s">
        <v>27</v>
      </c>
      <c r="D1043" t="s">
        <v>2</v>
      </c>
      <c r="E1043" t="s">
        <v>42</v>
      </c>
      <c r="F1043">
        <v>0</v>
      </c>
      <c r="G1043">
        <v>0</v>
      </c>
      <c r="H1043">
        <v>1</v>
      </c>
      <c r="I1043">
        <v>0</v>
      </c>
      <c r="J1043">
        <v>1</v>
      </c>
      <c r="K1043">
        <v>0.5</v>
      </c>
    </row>
    <row r="1044" spans="1:11" x14ac:dyDescent="0.2">
      <c r="A1044" t="s">
        <v>0</v>
      </c>
      <c r="B1044">
        <v>136</v>
      </c>
      <c r="C1044" t="s">
        <v>4</v>
      </c>
      <c r="D1044" t="s">
        <v>6</v>
      </c>
      <c r="E1044" t="s">
        <v>10</v>
      </c>
      <c r="F1044">
        <v>0</v>
      </c>
      <c r="G1044">
        <v>13</v>
      </c>
      <c r="H1044">
        <v>0</v>
      </c>
      <c r="I1044">
        <v>0</v>
      </c>
      <c r="J1044">
        <v>13</v>
      </c>
      <c r="K1044">
        <v>9.75</v>
      </c>
    </row>
    <row r="1045" spans="1:11" x14ac:dyDescent="0.2">
      <c r="A1045" t="s">
        <v>0</v>
      </c>
      <c r="B1045">
        <v>136</v>
      </c>
      <c r="C1045" t="s">
        <v>15</v>
      </c>
      <c r="D1045" t="s">
        <v>2</v>
      </c>
      <c r="E1045" t="s">
        <v>16</v>
      </c>
      <c r="F1045">
        <v>1</v>
      </c>
      <c r="G1045">
        <v>0</v>
      </c>
      <c r="H1045">
        <v>1</v>
      </c>
      <c r="I1045">
        <v>1</v>
      </c>
      <c r="J1045">
        <v>3</v>
      </c>
      <c r="K1045">
        <v>1.6</v>
      </c>
    </row>
    <row r="1046" spans="1:11" x14ac:dyDescent="0.2">
      <c r="A1046" t="s">
        <v>0</v>
      </c>
      <c r="B1046">
        <v>136</v>
      </c>
      <c r="C1046" t="s">
        <v>18</v>
      </c>
      <c r="D1046" t="s">
        <v>6</v>
      </c>
      <c r="E1046" t="s">
        <v>19</v>
      </c>
      <c r="F1046">
        <v>0</v>
      </c>
      <c r="G1046">
        <v>1</v>
      </c>
      <c r="H1046">
        <v>0</v>
      </c>
      <c r="I1046">
        <v>0</v>
      </c>
      <c r="J1046">
        <v>1</v>
      </c>
      <c r="K1046">
        <v>0.75</v>
      </c>
    </row>
    <row r="1047" spans="1:11" x14ac:dyDescent="0.2">
      <c r="A1047" t="s">
        <v>0</v>
      </c>
      <c r="B1047">
        <v>136</v>
      </c>
      <c r="C1047" t="s">
        <v>23</v>
      </c>
      <c r="D1047" t="s">
        <v>2</v>
      </c>
      <c r="E1047" t="s">
        <v>10</v>
      </c>
      <c r="F1047">
        <v>0</v>
      </c>
      <c r="G1047">
        <v>13</v>
      </c>
      <c r="H1047">
        <v>0</v>
      </c>
      <c r="I1047">
        <v>0</v>
      </c>
      <c r="J1047">
        <v>13</v>
      </c>
      <c r="K1047">
        <v>9.75</v>
      </c>
    </row>
    <row r="1048" spans="1:11" x14ac:dyDescent="0.2">
      <c r="A1048" t="s">
        <v>0</v>
      </c>
      <c r="B1048">
        <v>136</v>
      </c>
      <c r="C1048" t="s">
        <v>23</v>
      </c>
      <c r="D1048" t="s">
        <v>6</v>
      </c>
      <c r="E1048" t="s">
        <v>25</v>
      </c>
      <c r="F1048">
        <v>0</v>
      </c>
      <c r="G1048">
        <v>13</v>
      </c>
      <c r="H1048">
        <v>0</v>
      </c>
      <c r="I1048">
        <v>0</v>
      </c>
      <c r="J1048">
        <v>13</v>
      </c>
      <c r="K1048">
        <v>9.75</v>
      </c>
    </row>
    <row r="1049" spans="1:11" x14ac:dyDescent="0.2">
      <c r="A1049" t="s">
        <v>0</v>
      </c>
      <c r="B1049">
        <v>137</v>
      </c>
      <c r="C1049" t="s">
        <v>4</v>
      </c>
      <c r="D1049" t="s">
        <v>6</v>
      </c>
      <c r="E1049" t="s">
        <v>10</v>
      </c>
      <c r="F1049">
        <v>0</v>
      </c>
      <c r="G1049">
        <v>24</v>
      </c>
      <c r="H1049">
        <v>0</v>
      </c>
      <c r="I1049">
        <v>0</v>
      </c>
      <c r="J1049">
        <v>24</v>
      </c>
      <c r="K1049">
        <v>18</v>
      </c>
    </row>
    <row r="1050" spans="1:11" x14ac:dyDescent="0.2">
      <c r="A1050" t="s">
        <v>0</v>
      </c>
      <c r="B1050">
        <v>137</v>
      </c>
      <c r="C1050" t="s">
        <v>1</v>
      </c>
      <c r="D1050" t="s">
        <v>2</v>
      </c>
      <c r="E1050" t="s">
        <v>92</v>
      </c>
      <c r="F1050">
        <v>0</v>
      </c>
      <c r="G1050">
        <v>0</v>
      </c>
      <c r="H1050">
        <v>1</v>
      </c>
      <c r="I1050">
        <v>1</v>
      </c>
      <c r="J1050">
        <v>2</v>
      </c>
      <c r="K1050">
        <v>0.6</v>
      </c>
    </row>
    <row r="1051" spans="1:11" x14ac:dyDescent="0.2">
      <c r="A1051" t="s">
        <v>0</v>
      </c>
      <c r="B1051">
        <v>137</v>
      </c>
      <c r="C1051" t="s">
        <v>18</v>
      </c>
      <c r="D1051" t="s">
        <v>2</v>
      </c>
      <c r="E1051" t="s">
        <v>20</v>
      </c>
      <c r="F1051">
        <v>0</v>
      </c>
      <c r="G1051">
        <v>0</v>
      </c>
      <c r="H1051">
        <v>4</v>
      </c>
      <c r="I1051">
        <v>0</v>
      </c>
      <c r="J1051">
        <v>4</v>
      </c>
      <c r="K1051">
        <v>2</v>
      </c>
    </row>
    <row r="1052" spans="1:11" x14ac:dyDescent="0.2">
      <c r="A1052" t="s">
        <v>0</v>
      </c>
      <c r="B1052">
        <v>137</v>
      </c>
      <c r="C1052" t="s">
        <v>18</v>
      </c>
      <c r="D1052" t="s">
        <v>6</v>
      </c>
      <c r="E1052" t="s">
        <v>93</v>
      </c>
      <c r="F1052">
        <v>0</v>
      </c>
      <c r="G1052">
        <v>0</v>
      </c>
      <c r="H1052">
        <v>1</v>
      </c>
      <c r="I1052">
        <v>1</v>
      </c>
      <c r="J1052">
        <v>2</v>
      </c>
      <c r="K1052">
        <v>0.6</v>
      </c>
    </row>
    <row r="1053" spans="1:11" x14ac:dyDescent="0.2">
      <c r="A1053" t="s">
        <v>0</v>
      </c>
      <c r="B1053">
        <v>137</v>
      </c>
      <c r="C1053" t="s">
        <v>18</v>
      </c>
      <c r="D1053" t="s">
        <v>2</v>
      </c>
      <c r="E1053" t="s">
        <v>110</v>
      </c>
      <c r="F1053">
        <v>0</v>
      </c>
      <c r="G1053">
        <v>0</v>
      </c>
      <c r="H1053">
        <v>0</v>
      </c>
      <c r="I1053">
        <v>1</v>
      </c>
      <c r="J1053">
        <v>1</v>
      </c>
      <c r="K1053">
        <v>0.1</v>
      </c>
    </row>
    <row r="1054" spans="1:11" x14ac:dyDescent="0.2">
      <c r="A1054" t="s">
        <v>0</v>
      </c>
      <c r="B1054">
        <v>137</v>
      </c>
      <c r="C1054" t="s">
        <v>18</v>
      </c>
      <c r="D1054" t="s">
        <v>6</v>
      </c>
      <c r="E1054" t="s">
        <v>110</v>
      </c>
      <c r="F1054">
        <v>0</v>
      </c>
      <c r="G1054">
        <v>0</v>
      </c>
      <c r="H1054">
        <v>0</v>
      </c>
      <c r="I1054">
        <v>1</v>
      </c>
      <c r="J1054">
        <v>1</v>
      </c>
      <c r="K1054">
        <v>0.1</v>
      </c>
    </row>
    <row r="1055" spans="1:11" x14ac:dyDescent="0.2">
      <c r="A1055" t="s">
        <v>0</v>
      </c>
      <c r="B1055">
        <v>137</v>
      </c>
      <c r="C1055" t="s">
        <v>23</v>
      </c>
      <c r="D1055" t="s">
        <v>2</v>
      </c>
      <c r="E1055" t="s">
        <v>10</v>
      </c>
      <c r="F1055">
        <v>0</v>
      </c>
      <c r="G1055">
        <v>24</v>
      </c>
      <c r="H1055">
        <v>0</v>
      </c>
      <c r="I1055">
        <v>0</v>
      </c>
      <c r="J1055">
        <v>24</v>
      </c>
      <c r="K1055">
        <v>18</v>
      </c>
    </row>
    <row r="1056" spans="1:11" x14ac:dyDescent="0.2">
      <c r="A1056" t="s">
        <v>0</v>
      </c>
      <c r="B1056">
        <v>137</v>
      </c>
      <c r="C1056" t="s">
        <v>23</v>
      </c>
      <c r="D1056" t="s">
        <v>6</v>
      </c>
      <c r="E1056" t="s">
        <v>25</v>
      </c>
      <c r="F1056">
        <v>0</v>
      </c>
      <c r="G1056">
        <v>24</v>
      </c>
      <c r="H1056">
        <v>0</v>
      </c>
      <c r="I1056">
        <v>0</v>
      </c>
      <c r="J1056">
        <v>24</v>
      </c>
      <c r="K1056">
        <v>18</v>
      </c>
    </row>
    <row r="1057" spans="1:11" x14ac:dyDescent="0.2">
      <c r="A1057" t="s">
        <v>0</v>
      </c>
      <c r="B1057">
        <v>138</v>
      </c>
      <c r="C1057" t="s">
        <v>4</v>
      </c>
      <c r="D1057" t="s">
        <v>6</v>
      </c>
      <c r="E1057" t="s">
        <v>29</v>
      </c>
      <c r="F1057">
        <v>0</v>
      </c>
      <c r="G1057">
        <v>1</v>
      </c>
      <c r="H1057">
        <v>0</v>
      </c>
      <c r="I1057">
        <v>0</v>
      </c>
      <c r="J1057">
        <v>1</v>
      </c>
      <c r="K1057">
        <v>0.75</v>
      </c>
    </row>
    <row r="1058" spans="1:11" x14ac:dyDescent="0.2">
      <c r="A1058" t="s">
        <v>0</v>
      </c>
      <c r="B1058">
        <v>138</v>
      </c>
      <c r="C1058" t="s">
        <v>4</v>
      </c>
      <c r="D1058" t="s">
        <v>6</v>
      </c>
      <c r="E1058" t="s">
        <v>10</v>
      </c>
      <c r="F1058">
        <v>0</v>
      </c>
      <c r="G1058">
        <v>15</v>
      </c>
      <c r="H1058">
        <v>2</v>
      </c>
      <c r="I1058">
        <v>1</v>
      </c>
      <c r="J1058">
        <v>18</v>
      </c>
      <c r="K1058">
        <v>12.35</v>
      </c>
    </row>
    <row r="1059" spans="1:11" x14ac:dyDescent="0.2">
      <c r="A1059" t="s">
        <v>0</v>
      </c>
      <c r="B1059">
        <v>138</v>
      </c>
      <c r="C1059" t="s">
        <v>4</v>
      </c>
      <c r="D1059" t="s">
        <v>63</v>
      </c>
      <c r="E1059" t="s">
        <v>114</v>
      </c>
      <c r="F1059">
        <v>0</v>
      </c>
      <c r="G1059">
        <v>1</v>
      </c>
      <c r="H1059">
        <v>0</v>
      </c>
      <c r="I1059">
        <v>0</v>
      </c>
      <c r="J1059">
        <v>1</v>
      </c>
      <c r="K1059">
        <v>0.75</v>
      </c>
    </row>
    <row r="1060" spans="1:11" x14ac:dyDescent="0.2">
      <c r="A1060" t="s">
        <v>0</v>
      </c>
      <c r="B1060">
        <v>138</v>
      </c>
      <c r="C1060" t="s">
        <v>11</v>
      </c>
      <c r="D1060" t="s">
        <v>2</v>
      </c>
      <c r="E1060" t="s">
        <v>30</v>
      </c>
      <c r="F1060">
        <v>1</v>
      </c>
      <c r="G1060">
        <v>0</v>
      </c>
      <c r="H1060">
        <v>0</v>
      </c>
      <c r="I1060">
        <v>0</v>
      </c>
      <c r="J1060">
        <v>1</v>
      </c>
      <c r="K1060">
        <v>1</v>
      </c>
    </row>
    <row r="1061" spans="1:11" x14ac:dyDescent="0.2">
      <c r="A1061" t="s">
        <v>0</v>
      </c>
      <c r="B1061">
        <v>138</v>
      </c>
      <c r="C1061" t="s">
        <v>11</v>
      </c>
      <c r="D1061" t="s">
        <v>2</v>
      </c>
      <c r="E1061" t="s">
        <v>76</v>
      </c>
      <c r="F1061">
        <v>0</v>
      </c>
      <c r="G1061">
        <v>0</v>
      </c>
      <c r="H1061">
        <v>0</v>
      </c>
      <c r="I1061">
        <v>1</v>
      </c>
      <c r="J1061">
        <v>1</v>
      </c>
      <c r="K1061">
        <v>0.1</v>
      </c>
    </row>
    <row r="1062" spans="1:11" x14ac:dyDescent="0.2">
      <c r="A1062" t="s">
        <v>0</v>
      </c>
      <c r="B1062">
        <v>138</v>
      </c>
      <c r="C1062" t="s">
        <v>15</v>
      </c>
      <c r="D1062" t="s">
        <v>2</v>
      </c>
      <c r="E1062" t="s">
        <v>16</v>
      </c>
      <c r="F1062">
        <v>0</v>
      </c>
      <c r="G1062">
        <v>0</v>
      </c>
      <c r="H1062">
        <v>1</v>
      </c>
      <c r="I1062">
        <v>0</v>
      </c>
      <c r="J1062">
        <v>1</v>
      </c>
      <c r="K1062">
        <v>0.5</v>
      </c>
    </row>
    <row r="1063" spans="1:11" x14ac:dyDescent="0.2">
      <c r="A1063" t="s">
        <v>0</v>
      </c>
      <c r="B1063">
        <v>138</v>
      </c>
      <c r="C1063" t="s">
        <v>18</v>
      </c>
      <c r="D1063" t="s">
        <v>2</v>
      </c>
      <c r="E1063" t="s">
        <v>21</v>
      </c>
      <c r="F1063">
        <v>0</v>
      </c>
      <c r="G1063">
        <v>0</v>
      </c>
      <c r="H1063">
        <v>0</v>
      </c>
      <c r="I1063">
        <v>1</v>
      </c>
      <c r="J1063">
        <v>1</v>
      </c>
      <c r="K1063">
        <v>0.1</v>
      </c>
    </row>
    <row r="1064" spans="1:11" x14ac:dyDescent="0.2">
      <c r="A1064" t="s">
        <v>0</v>
      </c>
      <c r="B1064">
        <v>138</v>
      </c>
      <c r="C1064" t="s">
        <v>18</v>
      </c>
      <c r="D1064" t="s">
        <v>2</v>
      </c>
      <c r="E1064" t="s">
        <v>110</v>
      </c>
      <c r="F1064">
        <v>0</v>
      </c>
      <c r="G1064">
        <v>0</v>
      </c>
      <c r="H1064">
        <v>0</v>
      </c>
      <c r="I1064">
        <v>1</v>
      </c>
      <c r="J1064">
        <v>1</v>
      </c>
      <c r="K1064">
        <v>0.1</v>
      </c>
    </row>
    <row r="1065" spans="1:11" x14ac:dyDescent="0.2">
      <c r="A1065" t="s">
        <v>0</v>
      </c>
      <c r="B1065">
        <v>138</v>
      </c>
      <c r="C1065" t="s">
        <v>18</v>
      </c>
      <c r="D1065" t="s">
        <v>6</v>
      </c>
      <c r="E1065" t="s">
        <v>110</v>
      </c>
      <c r="F1065">
        <v>0</v>
      </c>
      <c r="G1065">
        <v>0</v>
      </c>
      <c r="H1065">
        <v>0</v>
      </c>
      <c r="I1065">
        <v>1</v>
      </c>
      <c r="J1065">
        <v>1</v>
      </c>
      <c r="K1065">
        <v>0.1</v>
      </c>
    </row>
    <row r="1066" spans="1:11" x14ac:dyDescent="0.2">
      <c r="A1066" t="s">
        <v>0</v>
      </c>
      <c r="B1066">
        <v>138</v>
      </c>
      <c r="C1066" t="s">
        <v>23</v>
      </c>
      <c r="D1066" t="s">
        <v>2</v>
      </c>
      <c r="E1066" t="s">
        <v>10</v>
      </c>
      <c r="F1066">
        <v>0</v>
      </c>
      <c r="G1066">
        <v>15</v>
      </c>
      <c r="H1066">
        <v>2</v>
      </c>
      <c r="I1066">
        <v>1</v>
      </c>
      <c r="J1066">
        <v>18</v>
      </c>
      <c r="K1066">
        <v>12.35</v>
      </c>
    </row>
    <row r="1067" spans="1:11" x14ac:dyDescent="0.2">
      <c r="A1067" t="s">
        <v>0</v>
      </c>
      <c r="B1067">
        <v>138</v>
      </c>
      <c r="C1067" t="s">
        <v>23</v>
      </c>
      <c r="D1067" t="s">
        <v>6</v>
      </c>
      <c r="E1067" t="s">
        <v>25</v>
      </c>
      <c r="F1067">
        <v>0</v>
      </c>
      <c r="G1067">
        <v>15</v>
      </c>
      <c r="H1067">
        <v>2</v>
      </c>
      <c r="I1067">
        <v>1</v>
      </c>
      <c r="J1067">
        <v>18</v>
      </c>
      <c r="K1067">
        <v>12.35</v>
      </c>
    </row>
    <row r="1068" spans="1:11" x14ac:dyDescent="0.2">
      <c r="A1068" t="s">
        <v>0</v>
      </c>
      <c r="B1068">
        <v>138</v>
      </c>
      <c r="C1068" t="s">
        <v>27</v>
      </c>
      <c r="D1068" t="s">
        <v>6</v>
      </c>
      <c r="E1068" t="s">
        <v>72</v>
      </c>
      <c r="F1068">
        <v>0</v>
      </c>
      <c r="G1068">
        <v>0</v>
      </c>
      <c r="H1068">
        <v>1</v>
      </c>
      <c r="I1068">
        <v>0</v>
      </c>
      <c r="J1068">
        <v>1</v>
      </c>
      <c r="K1068">
        <v>0.5</v>
      </c>
    </row>
    <row r="1069" spans="1:11" x14ac:dyDescent="0.2">
      <c r="A1069" t="s">
        <v>0</v>
      </c>
      <c r="B1069">
        <v>138</v>
      </c>
      <c r="C1069" t="s">
        <v>27</v>
      </c>
      <c r="D1069" t="s">
        <v>2</v>
      </c>
      <c r="E1069" t="s">
        <v>87</v>
      </c>
      <c r="F1069">
        <v>0</v>
      </c>
      <c r="G1069">
        <v>1</v>
      </c>
      <c r="H1069">
        <v>0</v>
      </c>
      <c r="I1069">
        <v>0</v>
      </c>
      <c r="J1069">
        <v>1</v>
      </c>
      <c r="K1069">
        <v>0.75</v>
      </c>
    </row>
  </sheetData>
  <conditionalFormatting sqref="U2:U139">
    <cfRule type="colorScale" priority="1">
      <colorScale>
        <cfvo type="min"/>
        <cfvo type="max"/>
        <color rgb="FFFCFCFF"/>
        <color rgb="FFF8696B"/>
      </colorScale>
    </cfRule>
  </conditionalFormatting>
  <conditionalFormatting sqref="W2:W139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8740157499999996" bottom="0.78740157499999996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 1 MW2Sem1</vt:lpstr>
      <vt:lpstr>Tabelle 2 MW2Sem2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Andreas Richard</cp:lastModifiedBy>
  <dcterms:created xsi:type="dcterms:W3CDTF">2025-11-28T12:57:30Z</dcterms:created>
  <dcterms:modified xsi:type="dcterms:W3CDTF">2025-12-22T12:40:32Z</dcterms:modified>
</cp:coreProperties>
</file>